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ashit\Downloads\jup\Data\"/>
    </mc:Choice>
  </mc:AlternateContent>
  <xr:revisionPtr revIDLastSave="0" documentId="13_ncr:1_{EA47DA79-0B4C-43F0-ACDF-323C6614689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" i="1" l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U544" i="1"/>
  <c r="U545" i="1"/>
  <c r="U546" i="1"/>
  <c r="U547" i="1"/>
  <c r="U548" i="1"/>
  <c r="U549" i="1"/>
  <c r="U550" i="1"/>
  <c r="U551" i="1"/>
  <c r="U552" i="1"/>
  <c r="U553" i="1"/>
  <c r="U554" i="1"/>
  <c r="U555" i="1"/>
  <c r="U556" i="1"/>
  <c r="U557" i="1"/>
  <c r="U558" i="1"/>
  <c r="U559" i="1"/>
  <c r="U560" i="1"/>
  <c r="U561" i="1"/>
  <c r="U562" i="1"/>
  <c r="U563" i="1"/>
  <c r="U564" i="1"/>
  <c r="U565" i="1"/>
  <c r="U566" i="1"/>
  <c r="U567" i="1"/>
  <c r="U568" i="1"/>
  <c r="U569" i="1"/>
  <c r="U570" i="1"/>
  <c r="U571" i="1"/>
  <c r="U572" i="1"/>
  <c r="U573" i="1"/>
  <c r="U574" i="1"/>
  <c r="U575" i="1"/>
  <c r="U576" i="1"/>
  <c r="U577" i="1"/>
  <c r="U578" i="1"/>
  <c r="U579" i="1"/>
  <c r="U580" i="1"/>
  <c r="U581" i="1"/>
  <c r="U582" i="1"/>
  <c r="U583" i="1"/>
  <c r="U584" i="1"/>
  <c r="U585" i="1"/>
  <c r="U586" i="1"/>
  <c r="U587" i="1"/>
  <c r="U588" i="1"/>
  <c r="U589" i="1"/>
  <c r="U590" i="1"/>
  <c r="U591" i="1"/>
  <c r="U592" i="1"/>
  <c r="U593" i="1"/>
  <c r="U594" i="1"/>
  <c r="U595" i="1"/>
  <c r="U596" i="1"/>
  <c r="U597" i="1"/>
  <c r="U598" i="1"/>
  <c r="U599" i="1"/>
  <c r="U600" i="1"/>
  <c r="U601" i="1"/>
  <c r="U602" i="1"/>
  <c r="U603" i="1"/>
  <c r="U604" i="1"/>
  <c r="U605" i="1"/>
  <c r="U606" i="1"/>
  <c r="U607" i="1"/>
  <c r="U608" i="1"/>
  <c r="U609" i="1"/>
  <c r="U610" i="1"/>
  <c r="U611" i="1"/>
  <c r="U612" i="1"/>
  <c r="U613" i="1"/>
  <c r="U614" i="1"/>
  <c r="U615" i="1"/>
  <c r="U616" i="1"/>
  <c r="U617" i="1"/>
  <c r="U618" i="1"/>
  <c r="U619" i="1"/>
  <c r="U620" i="1"/>
  <c r="U621" i="1"/>
  <c r="U622" i="1"/>
  <c r="U623" i="1"/>
  <c r="U624" i="1"/>
  <c r="U625" i="1"/>
  <c r="U626" i="1"/>
  <c r="U627" i="1"/>
  <c r="U628" i="1"/>
  <c r="U629" i="1"/>
  <c r="U630" i="1"/>
  <c r="U631" i="1"/>
  <c r="U632" i="1"/>
  <c r="U633" i="1"/>
  <c r="U634" i="1"/>
  <c r="U635" i="1"/>
  <c r="U636" i="1"/>
  <c r="U637" i="1"/>
  <c r="U638" i="1"/>
  <c r="U639" i="1"/>
  <c r="U640" i="1"/>
  <c r="U641" i="1"/>
  <c r="U642" i="1"/>
  <c r="U643" i="1"/>
  <c r="U644" i="1"/>
  <c r="U645" i="1"/>
  <c r="U646" i="1"/>
  <c r="U647" i="1"/>
  <c r="U648" i="1"/>
  <c r="U649" i="1"/>
  <c r="U650" i="1"/>
  <c r="U651" i="1"/>
  <c r="U652" i="1"/>
  <c r="U653" i="1"/>
  <c r="U654" i="1"/>
  <c r="U655" i="1"/>
  <c r="U656" i="1"/>
  <c r="U657" i="1"/>
  <c r="U658" i="1"/>
  <c r="U659" i="1"/>
  <c r="U660" i="1"/>
  <c r="U661" i="1"/>
  <c r="U662" i="1"/>
  <c r="U663" i="1"/>
  <c r="U664" i="1"/>
  <c r="U665" i="1"/>
  <c r="U666" i="1"/>
  <c r="U667" i="1"/>
  <c r="U668" i="1"/>
  <c r="U669" i="1"/>
  <c r="U670" i="1"/>
  <c r="U671" i="1"/>
  <c r="U672" i="1"/>
  <c r="U673" i="1"/>
  <c r="U674" i="1"/>
  <c r="U675" i="1"/>
  <c r="U676" i="1"/>
  <c r="U677" i="1"/>
  <c r="U678" i="1"/>
  <c r="U679" i="1"/>
  <c r="U680" i="1"/>
  <c r="U681" i="1"/>
  <c r="U682" i="1"/>
  <c r="U683" i="1"/>
  <c r="U684" i="1"/>
  <c r="U685" i="1"/>
  <c r="U686" i="1"/>
  <c r="U687" i="1"/>
  <c r="U688" i="1"/>
  <c r="U689" i="1"/>
  <c r="U690" i="1"/>
  <c r="U691" i="1"/>
  <c r="U692" i="1"/>
  <c r="U693" i="1"/>
  <c r="U694" i="1"/>
  <c r="U695" i="1"/>
  <c r="U696" i="1"/>
  <c r="U697" i="1"/>
  <c r="U698" i="1"/>
  <c r="U699" i="1"/>
  <c r="U700" i="1"/>
  <c r="U701" i="1"/>
  <c r="U702" i="1"/>
  <c r="U703" i="1"/>
  <c r="U704" i="1"/>
  <c r="U705" i="1"/>
  <c r="U706" i="1"/>
  <c r="U707" i="1"/>
  <c r="U708" i="1"/>
  <c r="U709" i="1"/>
  <c r="U710" i="1"/>
  <c r="U711" i="1"/>
  <c r="U712" i="1"/>
  <c r="U713" i="1"/>
  <c r="U714" i="1"/>
  <c r="U715" i="1"/>
  <c r="U716" i="1"/>
  <c r="U717" i="1"/>
  <c r="U718" i="1"/>
  <c r="U719" i="1"/>
  <c r="U720" i="1"/>
  <c r="U721" i="1"/>
  <c r="U722" i="1"/>
  <c r="U723" i="1"/>
  <c r="U724" i="1"/>
  <c r="U725" i="1"/>
  <c r="U726" i="1"/>
  <c r="U727" i="1"/>
  <c r="U728" i="1"/>
  <c r="U729" i="1"/>
  <c r="U730" i="1"/>
  <c r="U731" i="1"/>
  <c r="U732" i="1"/>
  <c r="U733" i="1"/>
  <c r="U734" i="1"/>
  <c r="U735" i="1"/>
  <c r="U736" i="1"/>
  <c r="U737" i="1"/>
  <c r="U738" i="1"/>
  <c r="U739" i="1"/>
  <c r="U740" i="1"/>
  <c r="U741" i="1"/>
  <c r="U742" i="1"/>
  <c r="U743" i="1"/>
  <c r="U744" i="1"/>
  <c r="U745" i="1"/>
  <c r="U746" i="1"/>
  <c r="U747" i="1"/>
  <c r="U748" i="1"/>
  <c r="U749" i="1"/>
  <c r="U750" i="1"/>
  <c r="U751" i="1"/>
  <c r="U752" i="1"/>
  <c r="U753" i="1"/>
  <c r="U754" i="1"/>
  <c r="U755" i="1"/>
  <c r="U756" i="1"/>
  <c r="U757" i="1"/>
  <c r="U758" i="1"/>
  <c r="U759" i="1"/>
  <c r="U760" i="1"/>
  <c r="U761" i="1"/>
  <c r="U762" i="1"/>
  <c r="U763" i="1"/>
  <c r="U764" i="1"/>
  <c r="U765" i="1"/>
  <c r="U766" i="1"/>
  <c r="U767" i="1"/>
  <c r="U768" i="1"/>
  <c r="U769" i="1"/>
  <c r="U770" i="1"/>
  <c r="U771" i="1"/>
  <c r="U772" i="1"/>
  <c r="U773" i="1"/>
  <c r="U774" i="1"/>
  <c r="U775" i="1"/>
  <c r="U776" i="1"/>
  <c r="U777" i="1"/>
  <c r="U778" i="1"/>
  <c r="U779" i="1"/>
  <c r="U780" i="1"/>
  <c r="U781" i="1"/>
  <c r="U782" i="1"/>
  <c r="U783" i="1"/>
  <c r="U784" i="1"/>
  <c r="U785" i="1"/>
  <c r="U786" i="1"/>
  <c r="U787" i="1"/>
  <c r="U788" i="1"/>
  <c r="U789" i="1"/>
  <c r="U790" i="1"/>
  <c r="U791" i="1"/>
  <c r="U792" i="1"/>
  <c r="U793" i="1"/>
  <c r="U794" i="1"/>
  <c r="U795" i="1"/>
  <c r="U796" i="1"/>
  <c r="U797" i="1"/>
  <c r="U798" i="1"/>
  <c r="U799" i="1"/>
  <c r="U800" i="1"/>
  <c r="U801" i="1"/>
  <c r="U802" i="1"/>
  <c r="U803" i="1"/>
  <c r="U804" i="1"/>
  <c r="U805" i="1"/>
  <c r="U806" i="1"/>
  <c r="U807" i="1"/>
  <c r="U808" i="1"/>
  <c r="U809" i="1"/>
  <c r="U810" i="1"/>
  <c r="U811" i="1"/>
  <c r="U812" i="1"/>
  <c r="U813" i="1"/>
  <c r="U814" i="1"/>
  <c r="U815" i="1"/>
  <c r="U816" i="1"/>
  <c r="U817" i="1"/>
  <c r="U818" i="1"/>
  <c r="U819" i="1"/>
  <c r="U820" i="1"/>
  <c r="U821" i="1"/>
  <c r="U822" i="1"/>
  <c r="U823" i="1"/>
  <c r="U824" i="1"/>
  <c r="U825" i="1"/>
  <c r="U826" i="1"/>
  <c r="U827" i="1"/>
  <c r="U828" i="1"/>
  <c r="U829" i="1"/>
  <c r="U830" i="1"/>
  <c r="U831" i="1"/>
  <c r="U832" i="1"/>
  <c r="U833" i="1"/>
  <c r="U834" i="1"/>
  <c r="U835" i="1"/>
  <c r="U836" i="1"/>
  <c r="U837" i="1"/>
  <c r="U838" i="1"/>
  <c r="U839" i="1"/>
  <c r="U840" i="1"/>
  <c r="U841" i="1"/>
  <c r="U842" i="1"/>
  <c r="U843" i="1"/>
  <c r="U844" i="1"/>
  <c r="U845" i="1"/>
  <c r="U846" i="1"/>
  <c r="U847" i="1"/>
  <c r="U848" i="1"/>
  <c r="U849" i="1"/>
  <c r="U850" i="1"/>
  <c r="U851" i="1"/>
  <c r="U852" i="1"/>
  <c r="U853" i="1"/>
  <c r="U854" i="1"/>
  <c r="U855" i="1"/>
  <c r="U856" i="1"/>
  <c r="U857" i="1"/>
  <c r="U858" i="1"/>
  <c r="U859" i="1"/>
  <c r="U860" i="1"/>
  <c r="U861" i="1"/>
  <c r="U862" i="1"/>
  <c r="U863" i="1"/>
  <c r="U864" i="1"/>
  <c r="U865" i="1"/>
  <c r="U866" i="1"/>
  <c r="U867" i="1"/>
  <c r="U868" i="1"/>
  <c r="U869" i="1"/>
  <c r="U870" i="1"/>
  <c r="U871" i="1"/>
  <c r="U872" i="1"/>
  <c r="U873" i="1"/>
  <c r="U874" i="1"/>
  <c r="U875" i="1"/>
  <c r="U876" i="1"/>
  <c r="U877" i="1"/>
  <c r="U878" i="1"/>
  <c r="U879" i="1"/>
  <c r="U880" i="1"/>
  <c r="U881" i="1"/>
  <c r="U882" i="1"/>
  <c r="U883" i="1"/>
  <c r="U884" i="1"/>
  <c r="U885" i="1"/>
  <c r="U886" i="1"/>
  <c r="U887" i="1"/>
  <c r="U888" i="1"/>
  <c r="U889" i="1"/>
  <c r="U890" i="1"/>
  <c r="U891" i="1"/>
  <c r="U892" i="1"/>
  <c r="U893" i="1"/>
  <c r="U894" i="1"/>
  <c r="U895" i="1"/>
  <c r="U896" i="1"/>
  <c r="U897" i="1"/>
  <c r="U898" i="1"/>
  <c r="U899" i="1"/>
  <c r="U900" i="1"/>
  <c r="U901" i="1"/>
  <c r="U902" i="1"/>
  <c r="U903" i="1"/>
  <c r="U904" i="1"/>
  <c r="U905" i="1"/>
  <c r="U906" i="1"/>
  <c r="U907" i="1"/>
  <c r="U908" i="1"/>
  <c r="U909" i="1"/>
  <c r="U910" i="1"/>
  <c r="U911" i="1"/>
  <c r="U912" i="1"/>
  <c r="U913" i="1"/>
  <c r="U914" i="1"/>
  <c r="U915" i="1"/>
  <c r="U916" i="1"/>
  <c r="U917" i="1"/>
  <c r="U918" i="1"/>
  <c r="U919" i="1"/>
  <c r="U920" i="1"/>
  <c r="U921" i="1"/>
  <c r="U922" i="1"/>
  <c r="U923" i="1"/>
  <c r="U924" i="1"/>
  <c r="U925" i="1"/>
  <c r="U926" i="1"/>
  <c r="U927" i="1"/>
  <c r="U928" i="1"/>
  <c r="U929" i="1"/>
  <c r="U930" i="1"/>
  <c r="U931" i="1"/>
  <c r="U932" i="1"/>
  <c r="U933" i="1"/>
  <c r="U934" i="1"/>
  <c r="U935" i="1"/>
  <c r="U936" i="1"/>
  <c r="U937" i="1"/>
  <c r="U938" i="1"/>
  <c r="U939" i="1"/>
  <c r="U940" i="1"/>
  <c r="U941" i="1"/>
  <c r="U942" i="1"/>
  <c r="U943" i="1"/>
  <c r="U944" i="1"/>
  <c r="U945" i="1"/>
  <c r="Q3" i="1"/>
  <c r="Q4" i="1"/>
  <c r="Q5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79" i="1"/>
  <c r="P80" i="1"/>
  <c r="P81" i="1"/>
  <c r="P82" i="1"/>
  <c r="P83" i="1"/>
  <c r="P84" i="1"/>
  <c r="P85" i="1"/>
  <c r="P86" i="1"/>
  <c r="P87" i="1"/>
  <c r="P88" i="1"/>
  <c r="P89" i="1"/>
  <c r="P90" i="1"/>
  <c r="P91" i="1"/>
  <c r="P92" i="1"/>
  <c r="P93" i="1"/>
  <c r="P94" i="1"/>
  <c r="P95" i="1"/>
  <c r="P96" i="1"/>
  <c r="P97" i="1"/>
  <c r="P98" i="1"/>
  <c r="P99" i="1"/>
  <c r="P100" i="1"/>
  <c r="P101" i="1"/>
  <c r="P102" i="1"/>
  <c r="P103" i="1"/>
  <c r="P104" i="1"/>
  <c r="P105" i="1"/>
  <c r="P106" i="1"/>
  <c r="P107" i="1"/>
  <c r="P108" i="1"/>
  <c r="P109" i="1"/>
  <c r="P110" i="1"/>
  <c r="P111" i="1"/>
  <c r="P112" i="1"/>
  <c r="P113" i="1"/>
  <c r="P114" i="1"/>
  <c r="P115" i="1"/>
  <c r="P116" i="1"/>
  <c r="P117" i="1"/>
  <c r="P118" i="1"/>
  <c r="P119" i="1"/>
  <c r="P120" i="1"/>
  <c r="P121" i="1"/>
  <c r="P122" i="1"/>
  <c r="P123" i="1"/>
  <c r="P124" i="1"/>
  <c r="P125" i="1"/>
  <c r="P126" i="1"/>
  <c r="P127" i="1"/>
  <c r="P128" i="1"/>
  <c r="P129" i="1"/>
  <c r="P130" i="1"/>
  <c r="P131" i="1"/>
  <c r="P132" i="1"/>
  <c r="P133" i="1"/>
  <c r="P134" i="1"/>
  <c r="P135" i="1"/>
  <c r="P136" i="1"/>
  <c r="P137" i="1"/>
  <c r="P138" i="1"/>
  <c r="P139" i="1"/>
  <c r="P140" i="1"/>
  <c r="P141" i="1"/>
  <c r="P142" i="1"/>
  <c r="P143" i="1"/>
  <c r="P144" i="1"/>
  <c r="P145" i="1"/>
  <c r="P146" i="1"/>
  <c r="P147" i="1"/>
  <c r="P148" i="1"/>
  <c r="P149" i="1"/>
  <c r="P150" i="1"/>
  <c r="P151" i="1"/>
  <c r="P152" i="1"/>
  <c r="P153" i="1"/>
  <c r="P154" i="1"/>
  <c r="P155" i="1"/>
  <c r="P156" i="1"/>
  <c r="P157" i="1"/>
  <c r="P158" i="1"/>
  <c r="P159" i="1"/>
  <c r="P160" i="1"/>
  <c r="P161" i="1"/>
  <c r="P162" i="1"/>
  <c r="P163" i="1"/>
  <c r="P164" i="1"/>
  <c r="P165" i="1"/>
  <c r="P166" i="1"/>
  <c r="P167" i="1"/>
  <c r="P168" i="1"/>
  <c r="P169" i="1"/>
  <c r="P170" i="1"/>
  <c r="P171" i="1"/>
  <c r="P172" i="1"/>
  <c r="P173" i="1"/>
  <c r="P174" i="1"/>
  <c r="P175" i="1"/>
  <c r="P176" i="1"/>
  <c r="P177" i="1"/>
  <c r="P178" i="1"/>
  <c r="P179" i="1"/>
  <c r="P180" i="1"/>
  <c r="P181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P202" i="1"/>
  <c r="P203" i="1"/>
  <c r="P204" i="1"/>
  <c r="P205" i="1"/>
  <c r="P206" i="1"/>
  <c r="P207" i="1"/>
  <c r="P208" i="1"/>
  <c r="P209" i="1"/>
  <c r="P210" i="1"/>
  <c r="P211" i="1"/>
  <c r="P212" i="1"/>
  <c r="P213" i="1"/>
  <c r="P214" i="1"/>
  <c r="P215" i="1"/>
  <c r="P216" i="1"/>
  <c r="P217" i="1"/>
  <c r="P218" i="1"/>
  <c r="P219" i="1"/>
  <c r="P220" i="1"/>
  <c r="P221" i="1"/>
  <c r="P222" i="1"/>
  <c r="P223" i="1"/>
  <c r="P224" i="1"/>
  <c r="P225" i="1"/>
  <c r="P226" i="1"/>
  <c r="P227" i="1"/>
  <c r="P228" i="1"/>
  <c r="P229" i="1"/>
  <c r="P230" i="1"/>
  <c r="P231" i="1"/>
  <c r="P232" i="1"/>
  <c r="P233" i="1"/>
  <c r="P234" i="1"/>
  <c r="P235" i="1"/>
  <c r="P236" i="1"/>
  <c r="P237" i="1"/>
  <c r="P238" i="1"/>
  <c r="P239" i="1"/>
  <c r="P240" i="1"/>
  <c r="P241" i="1"/>
  <c r="P242" i="1"/>
  <c r="P243" i="1"/>
  <c r="P244" i="1"/>
  <c r="P245" i="1"/>
  <c r="P246" i="1"/>
  <c r="P247" i="1"/>
  <c r="P248" i="1"/>
  <c r="P249" i="1"/>
  <c r="P250" i="1"/>
  <c r="P251" i="1"/>
  <c r="P252" i="1"/>
  <c r="P253" i="1"/>
  <c r="P254" i="1"/>
  <c r="P255" i="1"/>
  <c r="P256" i="1"/>
  <c r="P257" i="1"/>
  <c r="P258" i="1"/>
  <c r="P259" i="1"/>
  <c r="P260" i="1"/>
  <c r="P261" i="1"/>
  <c r="P262" i="1"/>
  <c r="P263" i="1"/>
  <c r="P264" i="1"/>
  <c r="P265" i="1"/>
  <c r="P266" i="1"/>
  <c r="P267" i="1"/>
  <c r="P268" i="1"/>
  <c r="P269" i="1"/>
  <c r="P270" i="1"/>
  <c r="P271" i="1"/>
  <c r="P272" i="1"/>
  <c r="P273" i="1"/>
  <c r="P274" i="1"/>
  <c r="P275" i="1"/>
  <c r="P276" i="1"/>
  <c r="P277" i="1"/>
  <c r="P278" i="1"/>
  <c r="P279" i="1"/>
  <c r="P280" i="1"/>
  <c r="P281" i="1"/>
  <c r="P282" i="1"/>
  <c r="P283" i="1"/>
  <c r="P284" i="1"/>
  <c r="P285" i="1"/>
  <c r="P286" i="1"/>
  <c r="P287" i="1"/>
  <c r="P288" i="1"/>
  <c r="P289" i="1"/>
  <c r="P290" i="1"/>
  <c r="P291" i="1"/>
  <c r="P292" i="1"/>
  <c r="P293" i="1"/>
  <c r="P294" i="1"/>
  <c r="P295" i="1"/>
  <c r="P296" i="1"/>
  <c r="P297" i="1"/>
  <c r="P298" i="1"/>
  <c r="P299" i="1"/>
  <c r="P300" i="1"/>
  <c r="P301" i="1"/>
  <c r="P302" i="1"/>
  <c r="P303" i="1"/>
  <c r="P304" i="1"/>
  <c r="P305" i="1"/>
  <c r="P306" i="1"/>
  <c r="P307" i="1"/>
  <c r="P308" i="1"/>
  <c r="P309" i="1"/>
  <c r="P310" i="1"/>
  <c r="P311" i="1"/>
  <c r="P312" i="1"/>
  <c r="P313" i="1"/>
  <c r="P314" i="1"/>
  <c r="P315" i="1"/>
  <c r="P316" i="1"/>
  <c r="P317" i="1"/>
  <c r="P318" i="1"/>
  <c r="P319" i="1"/>
  <c r="P320" i="1"/>
  <c r="P321" i="1"/>
  <c r="P322" i="1"/>
  <c r="P323" i="1"/>
  <c r="P324" i="1"/>
  <c r="P325" i="1"/>
  <c r="P326" i="1"/>
  <c r="P327" i="1"/>
  <c r="P328" i="1"/>
  <c r="P329" i="1"/>
  <c r="P330" i="1"/>
  <c r="P331" i="1"/>
  <c r="P332" i="1"/>
  <c r="P333" i="1"/>
  <c r="P334" i="1"/>
  <c r="P335" i="1"/>
  <c r="P336" i="1"/>
  <c r="P337" i="1"/>
  <c r="P338" i="1"/>
  <c r="P339" i="1"/>
  <c r="P340" i="1"/>
  <c r="P341" i="1"/>
  <c r="P342" i="1"/>
  <c r="P343" i="1"/>
  <c r="P344" i="1"/>
  <c r="P345" i="1"/>
  <c r="P346" i="1"/>
  <c r="P347" i="1"/>
  <c r="P348" i="1"/>
  <c r="P349" i="1"/>
  <c r="P350" i="1"/>
  <c r="P351" i="1"/>
  <c r="P352" i="1"/>
  <c r="P353" i="1"/>
  <c r="P354" i="1"/>
  <c r="P355" i="1"/>
  <c r="P356" i="1"/>
  <c r="P357" i="1"/>
  <c r="P358" i="1"/>
  <c r="P359" i="1"/>
  <c r="P360" i="1"/>
  <c r="P361" i="1"/>
  <c r="P362" i="1"/>
  <c r="P363" i="1"/>
  <c r="P364" i="1"/>
  <c r="P365" i="1"/>
  <c r="P366" i="1"/>
  <c r="P367" i="1"/>
  <c r="P368" i="1"/>
  <c r="P369" i="1"/>
  <c r="P370" i="1"/>
  <c r="P371" i="1"/>
  <c r="P372" i="1"/>
  <c r="P373" i="1"/>
  <c r="P374" i="1"/>
  <c r="P375" i="1"/>
  <c r="P376" i="1"/>
  <c r="P377" i="1"/>
  <c r="P378" i="1"/>
  <c r="P379" i="1"/>
  <c r="P380" i="1"/>
  <c r="P381" i="1"/>
  <c r="P382" i="1"/>
  <c r="P383" i="1"/>
  <c r="P384" i="1"/>
  <c r="P385" i="1"/>
  <c r="P386" i="1"/>
  <c r="P387" i="1"/>
  <c r="P388" i="1"/>
  <c r="P389" i="1"/>
  <c r="P390" i="1"/>
  <c r="P391" i="1"/>
  <c r="P392" i="1"/>
  <c r="P393" i="1"/>
  <c r="P394" i="1"/>
  <c r="P395" i="1"/>
  <c r="P396" i="1"/>
  <c r="P397" i="1"/>
  <c r="P398" i="1"/>
  <c r="P399" i="1"/>
  <c r="P400" i="1"/>
  <c r="P401" i="1"/>
  <c r="P402" i="1"/>
  <c r="P403" i="1"/>
  <c r="P404" i="1"/>
  <c r="P405" i="1"/>
  <c r="P406" i="1"/>
  <c r="P407" i="1"/>
  <c r="P408" i="1"/>
  <c r="P409" i="1"/>
  <c r="P410" i="1"/>
  <c r="P411" i="1"/>
  <c r="P412" i="1"/>
  <c r="P413" i="1"/>
  <c r="P414" i="1"/>
  <c r="P415" i="1"/>
  <c r="P416" i="1"/>
  <c r="P417" i="1"/>
  <c r="P418" i="1"/>
  <c r="P419" i="1"/>
  <c r="P420" i="1"/>
  <c r="P421" i="1"/>
  <c r="P422" i="1"/>
  <c r="P423" i="1"/>
  <c r="P424" i="1"/>
  <c r="P425" i="1"/>
  <c r="P426" i="1"/>
  <c r="P427" i="1"/>
  <c r="P428" i="1"/>
  <c r="P429" i="1"/>
  <c r="P430" i="1"/>
  <c r="P431" i="1"/>
  <c r="P432" i="1"/>
  <c r="P433" i="1"/>
  <c r="P434" i="1"/>
  <c r="P435" i="1"/>
  <c r="P436" i="1"/>
  <c r="P437" i="1"/>
  <c r="P438" i="1"/>
  <c r="P439" i="1"/>
  <c r="P440" i="1"/>
  <c r="P441" i="1"/>
  <c r="P442" i="1"/>
  <c r="P443" i="1"/>
  <c r="P444" i="1"/>
  <c r="P445" i="1"/>
  <c r="P446" i="1"/>
  <c r="P447" i="1"/>
  <c r="P448" i="1"/>
  <c r="P449" i="1"/>
  <c r="P450" i="1"/>
  <c r="P451" i="1"/>
  <c r="P452" i="1"/>
  <c r="P453" i="1"/>
  <c r="P454" i="1"/>
  <c r="P455" i="1"/>
  <c r="P456" i="1"/>
  <c r="P457" i="1"/>
  <c r="P458" i="1"/>
  <c r="P459" i="1"/>
  <c r="P460" i="1"/>
  <c r="P461" i="1"/>
  <c r="P462" i="1"/>
  <c r="P463" i="1"/>
  <c r="P464" i="1"/>
  <c r="P465" i="1"/>
  <c r="P466" i="1"/>
  <c r="P467" i="1"/>
  <c r="P468" i="1"/>
  <c r="P469" i="1"/>
  <c r="P470" i="1"/>
  <c r="P471" i="1"/>
  <c r="P472" i="1"/>
  <c r="P473" i="1"/>
  <c r="P474" i="1"/>
  <c r="P475" i="1"/>
  <c r="P476" i="1"/>
  <c r="P477" i="1"/>
  <c r="P478" i="1"/>
  <c r="P479" i="1"/>
  <c r="P480" i="1"/>
  <c r="P481" i="1"/>
  <c r="P482" i="1"/>
  <c r="P483" i="1"/>
  <c r="P484" i="1"/>
  <c r="P485" i="1"/>
  <c r="P486" i="1"/>
  <c r="P487" i="1"/>
  <c r="P488" i="1"/>
  <c r="P489" i="1"/>
  <c r="P490" i="1"/>
  <c r="P491" i="1"/>
  <c r="P492" i="1"/>
  <c r="P493" i="1"/>
  <c r="P494" i="1"/>
  <c r="P495" i="1"/>
  <c r="P496" i="1"/>
  <c r="P497" i="1"/>
  <c r="P498" i="1"/>
  <c r="P499" i="1"/>
  <c r="P500" i="1"/>
  <c r="P501" i="1"/>
  <c r="P502" i="1"/>
  <c r="P503" i="1"/>
  <c r="P504" i="1"/>
  <c r="P505" i="1"/>
  <c r="P506" i="1"/>
  <c r="P507" i="1"/>
  <c r="P508" i="1"/>
  <c r="P509" i="1"/>
  <c r="P510" i="1"/>
  <c r="P511" i="1"/>
  <c r="P512" i="1"/>
  <c r="P513" i="1"/>
  <c r="P514" i="1"/>
  <c r="P515" i="1"/>
  <c r="P516" i="1"/>
  <c r="P517" i="1"/>
  <c r="P518" i="1"/>
  <c r="P519" i="1"/>
  <c r="P520" i="1"/>
  <c r="P521" i="1"/>
  <c r="P522" i="1"/>
  <c r="P523" i="1"/>
  <c r="P524" i="1"/>
  <c r="P525" i="1"/>
  <c r="P526" i="1"/>
  <c r="P527" i="1"/>
  <c r="P528" i="1"/>
  <c r="P529" i="1"/>
  <c r="P530" i="1"/>
  <c r="P531" i="1"/>
  <c r="P532" i="1"/>
  <c r="P533" i="1"/>
  <c r="P534" i="1"/>
  <c r="P535" i="1"/>
  <c r="P536" i="1"/>
  <c r="P537" i="1"/>
  <c r="P538" i="1"/>
  <c r="P539" i="1"/>
  <c r="P540" i="1"/>
  <c r="P541" i="1"/>
  <c r="P542" i="1"/>
  <c r="P543" i="1"/>
  <c r="P544" i="1"/>
  <c r="P545" i="1"/>
  <c r="P546" i="1"/>
  <c r="P547" i="1"/>
  <c r="P548" i="1"/>
  <c r="P549" i="1"/>
  <c r="P550" i="1"/>
  <c r="P551" i="1"/>
  <c r="P552" i="1"/>
  <c r="P553" i="1"/>
  <c r="P554" i="1"/>
  <c r="P555" i="1"/>
  <c r="P556" i="1"/>
  <c r="P557" i="1"/>
  <c r="P558" i="1"/>
  <c r="P559" i="1"/>
  <c r="P560" i="1"/>
  <c r="P561" i="1"/>
  <c r="P562" i="1"/>
  <c r="P563" i="1"/>
  <c r="P564" i="1"/>
  <c r="P565" i="1"/>
  <c r="P566" i="1"/>
  <c r="P567" i="1"/>
  <c r="P568" i="1"/>
  <c r="P569" i="1"/>
  <c r="P570" i="1"/>
  <c r="P571" i="1"/>
  <c r="P572" i="1"/>
  <c r="P573" i="1"/>
  <c r="P574" i="1"/>
  <c r="P575" i="1"/>
  <c r="P576" i="1"/>
  <c r="P577" i="1"/>
  <c r="P578" i="1"/>
  <c r="P579" i="1"/>
  <c r="P580" i="1"/>
  <c r="P581" i="1"/>
  <c r="P582" i="1"/>
  <c r="P583" i="1"/>
  <c r="P584" i="1"/>
  <c r="P585" i="1"/>
  <c r="P586" i="1"/>
  <c r="P587" i="1"/>
  <c r="P588" i="1"/>
  <c r="P589" i="1"/>
  <c r="P590" i="1"/>
  <c r="P591" i="1"/>
  <c r="P592" i="1"/>
  <c r="P593" i="1"/>
  <c r="P594" i="1"/>
  <c r="P595" i="1"/>
  <c r="P596" i="1"/>
  <c r="P597" i="1"/>
  <c r="P598" i="1"/>
  <c r="P599" i="1"/>
  <c r="P600" i="1"/>
  <c r="P601" i="1"/>
  <c r="P602" i="1"/>
  <c r="P603" i="1"/>
  <c r="P604" i="1"/>
  <c r="P605" i="1"/>
  <c r="P606" i="1"/>
  <c r="P607" i="1"/>
  <c r="P608" i="1"/>
  <c r="P609" i="1"/>
  <c r="P610" i="1"/>
  <c r="P611" i="1"/>
  <c r="P612" i="1"/>
  <c r="P613" i="1"/>
  <c r="P614" i="1"/>
  <c r="P615" i="1"/>
  <c r="P616" i="1"/>
  <c r="P617" i="1"/>
  <c r="P618" i="1"/>
  <c r="P619" i="1"/>
  <c r="P620" i="1"/>
  <c r="P621" i="1"/>
  <c r="P622" i="1"/>
  <c r="P623" i="1"/>
  <c r="P624" i="1"/>
  <c r="P625" i="1"/>
  <c r="P626" i="1"/>
  <c r="P627" i="1"/>
  <c r="P628" i="1"/>
  <c r="P629" i="1"/>
  <c r="P630" i="1"/>
  <c r="P631" i="1"/>
  <c r="P632" i="1"/>
  <c r="P633" i="1"/>
  <c r="P634" i="1"/>
  <c r="P635" i="1"/>
  <c r="P636" i="1"/>
  <c r="P637" i="1"/>
  <c r="P638" i="1"/>
  <c r="P639" i="1"/>
  <c r="P640" i="1"/>
  <c r="P641" i="1"/>
  <c r="P642" i="1"/>
  <c r="P643" i="1"/>
  <c r="P644" i="1"/>
  <c r="P645" i="1"/>
  <c r="P646" i="1"/>
  <c r="P647" i="1"/>
  <c r="P648" i="1"/>
  <c r="P649" i="1"/>
  <c r="P650" i="1"/>
  <c r="P651" i="1"/>
  <c r="P652" i="1"/>
  <c r="P653" i="1"/>
  <c r="P654" i="1"/>
  <c r="P655" i="1"/>
  <c r="P656" i="1"/>
  <c r="P657" i="1"/>
  <c r="P658" i="1"/>
  <c r="P659" i="1"/>
  <c r="P660" i="1"/>
  <c r="P661" i="1"/>
  <c r="P662" i="1"/>
  <c r="P663" i="1"/>
  <c r="P664" i="1"/>
  <c r="P665" i="1"/>
  <c r="P666" i="1"/>
  <c r="P667" i="1"/>
  <c r="P668" i="1"/>
  <c r="P669" i="1"/>
  <c r="P670" i="1"/>
  <c r="P671" i="1"/>
  <c r="P672" i="1"/>
  <c r="P673" i="1"/>
  <c r="P674" i="1"/>
  <c r="P675" i="1"/>
  <c r="P676" i="1"/>
  <c r="P677" i="1"/>
  <c r="P678" i="1"/>
  <c r="P679" i="1"/>
  <c r="P680" i="1"/>
  <c r="P681" i="1"/>
  <c r="P682" i="1"/>
  <c r="P683" i="1"/>
  <c r="P684" i="1"/>
  <c r="P685" i="1"/>
  <c r="P686" i="1"/>
  <c r="P687" i="1"/>
  <c r="P688" i="1"/>
  <c r="P689" i="1"/>
  <c r="P690" i="1"/>
  <c r="P691" i="1"/>
  <c r="P692" i="1"/>
  <c r="P693" i="1"/>
  <c r="P694" i="1"/>
  <c r="P695" i="1"/>
  <c r="P696" i="1"/>
  <c r="P697" i="1"/>
  <c r="P698" i="1"/>
  <c r="P699" i="1"/>
  <c r="P700" i="1"/>
  <c r="P701" i="1"/>
  <c r="P702" i="1"/>
  <c r="P703" i="1"/>
  <c r="P704" i="1"/>
  <c r="P705" i="1"/>
  <c r="P706" i="1"/>
  <c r="P707" i="1"/>
  <c r="P708" i="1"/>
  <c r="P709" i="1"/>
  <c r="P710" i="1"/>
  <c r="P711" i="1"/>
  <c r="P712" i="1"/>
  <c r="P713" i="1"/>
  <c r="P714" i="1"/>
  <c r="P715" i="1"/>
  <c r="P716" i="1"/>
  <c r="P717" i="1"/>
  <c r="P718" i="1"/>
  <c r="P719" i="1"/>
  <c r="P720" i="1"/>
  <c r="P721" i="1"/>
  <c r="P722" i="1"/>
  <c r="P723" i="1"/>
  <c r="P724" i="1"/>
  <c r="P725" i="1"/>
  <c r="P726" i="1"/>
  <c r="P727" i="1"/>
  <c r="P728" i="1"/>
  <c r="P729" i="1"/>
  <c r="P730" i="1"/>
  <c r="P731" i="1"/>
  <c r="P732" i="1"/>
  <c r="P733" i="1"/>
  <c r="P734" i="1"/>
  <c r="P735" i="1"/>
  <c r="P736" i="1"/>
  <c r="P737" i="1"/>
  <c r="P738" i="1"/>
  <c r="P739" i="1"/>
  <c r="P740" i="1"/>
  <c r="P741" i="1"/>
  <c r="P742" i="1"/>
  <c r="P743" i="1"/>
  <c r="P744" i="1"/>
  <c r="P745" i="1"/>
  <c r="P746" i="1"/>
  <c r="P747" i="1"/>
  <c r="P748" i="1"/>
  <c r="P749" i="1"/>
  <c r="P750" i="1"/>
  <c r="P751" i="1"/>
  <c r="P752" i="1"/>
  <c r="P753" i="1"/>
  <c r="P754" i="1"/>
  <c r="P755" i="1"/>
  <c r="P756" i="1"/>
  <c r="P757" i="1"/>
  <c r="P758" i="1"/>
  <c r="P759" i="1"/>
  <c r="P760" i="1"/>
  <c r="P761" i="1"/>
  <c r="P762" i="1"/>
  <c r="P763" i="1"/>
  <c r="P764" i="1"/>
  <c r="P765" i="1"/>
  <c r="P766" i="1"/>
  <c r="P767" i="1"/>
  <c r="P768" i="1"/>
  <c r="P769" i="1"/>
  <c r="P770" i="1"/>
  <c r="P771" i="1"/>
  <c r="P772" i="1"/>
  <c r="P773" i="1"/>
  <c r="P774" i="1"/>
  <c r="P775" i="1"/>
  <c r="P776" i="1"/>
  <c r="P777" i="1"/>
  <c r="P778" i="1"/>
  <c r="P779" i="1"/>
  <c r="P780" i="1"/>
  <c r="P781" i="1"/>
  <c r="P782" i="1"/>
  <c r="P783" i="1"/>
  <c r="P784" i="1"/>
  <c r="P785" i="1"/>
  <c r="P786" i="1"/>
  <c r="P787" i="1"/>
  <c r="P788" i="1"/>
  <c r="P789" i="1"/>
  <c r="P790" i="1"/>
  <c r="P791" i="1"/>
  <c r="P792" i="1"/>
  <c r="P793" i="1"/>
  <c r="P794" i="1"/>
  <c r="P795" i="1"/>
  <c r="P796" i="1"/>
  <c r="P797" i="1"/>
  <c r="P798" i="1"/>
  <c r="P799" i="1"/>
  <c r="P800" i="1"/>
  <c r="P801" i="1"/>
  <c r="P802" i="1"/>
  <c r="P803" i="1"/>
  <c r="P804" i="1"/>
  <c r="P805" i="1"/>
  <c r="P806" i="1"/>
  <c r="P807" i="1"/>
  <c r="P808" i="1"/>
  <c r="P809" i="1"/>
  <c r="P810" i="1"/>
  <c r="P811" i="1"/>
  <c r="P812" i="1"/>
  <c r="P813" i="1"/>
  <c r="P814" i="1"/>
  <c r="P815" i="1"/>
  <c r="P816" i="1"/>
  <c r="P817" i="1"/>
  <c r="P818" i="1"/>
  <c r="P819" i="1"/>
  <c r="P820" i="1"/>
  <c r="P821" i="1"/>
  <c r="P822" i="1"/>
  <c r="P823" i="1"/>
  <c r="P824" i="1"/>
  <c r="P825" i="1"/>
  <c r="P826" i="1"/>
  <c r="P827" i="1"/>
  <c r="P828" i="1"/>
  <c r="P829" i="1"/>
  <c r="P830" i="1"/>
  <c r="P831" i="1"/>
  <c r="P832" i="1"/>
  <c r="P833" i="1"/>
  <c r="P834" i="1"/>
  <c r="P835" i="1"/>
  <c r="P836" i="1"/>
  <c r="P837" i="1"/>
  <c r="P838" i="1"/>
  <c r="P839" i="1"/>
  <c r="P840" i="1"/>
  <c r="P841" i="1"/>
  <c r="P842" i="1"/>
  <c r="P843" i="1"/>
  <c r="P844" i="1"/>
  <c r="P845" i="1"/>
  <c r="P846" i="1"/>
  <c r="P847" i="1"/>
  <c r="P848" i="1"/>
  <c r="P849" i="1"/>
  <c r="P850" i="1"/>
  <c r="P851" i="1"/>
  <c r="P852" i="1"/>
  <c r="P853" i="1"/>
  <c r="P854" i="1"/>
  <c r="P855" i="1"/>
  <c r="P856" i="1"/>
  <c r="P857" i="1"/>
  <c r="P858" i="1"/>
  <c r="P859" i="1"/>
  <c r="P860" i="1"/>
  <c r="P861" i="1"/>
  <c r="P862" i="1"/>
  <c r="P863" i="1"/>
  <c r="P864" i="1"/>
  <c r="P865" i="1"/>
  <c r="P866" i="1"/>
  <c r="P867" i="1"/>
  <c r="P868" i="1"/>
  <c r="P869" i="1"/>
  <c r="P870" i="1"/>
  <c r="P871" i="1"/>
  <c r="P872" i="1"/>
  <c r="P873" i="1"/>
  <c r="P874" i="1"/>
  <c r="P875" i="1"/>
  <c r="P876" i="1"/>
  <c r="P877" i="1"/>
  <c r="P878" i="1"/>
  <c r="P879" i="1"/>
  <c r="P880" i="1"/>
  <c r="P881" i="1"/>
  <c r="P882" i="1"/>
  <c r="P883" i="1"/>
  <c r="P884" i="1"/>
  <c r="P885" i="1"/>
  <c r="P886" i="1"/>
  <c r="P887" i="1"/>
  <c r="P888" i="1"/>
  <c r="P889" i="1"/>
  <c r="P890" i="1"/>
  <c r="P891" i="1"/>
  <c r="P892" i="1"/>
  <c r="P893" i="1"/>
  <c r="P894" i="1"/>
  <c r="P895" i="1"/>
  <c r="P896" i="1"/>
  <c r="P897" i="1"/>
  <c r="P898" i="1"/>
  <c r="P899" i="1"/>
  <c r="P900" i="1"/>
  <c r="P901" i="1"/>
  <c r="P902" i="1"/>
  <c r="P903" i="1"/>
  <c r="P904" i="1"/>
  <c r="P905" i="1"/>
  <c r="P906" i="1"/>
  <c r="P907" i="1"/>
  <c r="P908" i="1"/>
  <c r="P909" i="1"/>
  <c r="P910" i="1"/>
  <c r="P911" i="1"/>
  <c r="P912" i="1"/>
  <c r="P913" i="1"/>
  <c r="P914" i="1"/>
  <c r="P915" i="1"/>
  <c r="P916" i="1"/>
  <c r="P917" i="1"/>
  <c r="P918" i="1"/>
  <c r="P919" i="1"/>
  <c r="P920" i="1"/>
  <c r="P921" i="1"/>
  <c r="P922" i="1"/>
  <c r="P923" i="1"/>
  <c r="P924" i="1"/>
  <c r="P925" i="1"/>
  <c r="P926" i="1"/>
  <c r="P927" i="1"/>
  <c r="P928" i="1"/>
  <c r="P929" i="1"/>
  <c r="P930" i="1"/>
  <c r="P931" i="1"/>
  <c r="P932" i="1"/>
  <c r="P933" i="1"/>
  <c r="P934" i="1"/>
  <c r="P935" i="1"/>
  <c r="P936" i="1"/>
  <c r="P937" i="1"/>
  <c r="P938" i="1"/>
  <c r="P939" i="1"/>
  <c r="P940" i="1"/>
  <c r="P941" i="1"/>
  <c r="P942" i="1"/>
  <c r="P943" i="1"/>
  <c r="P944" i="1"/>
  <c r="P945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N33" i="1"/>
  <c r="N34" i="1"/>
  <c r="N35" i="1"/>
  <c r="N36" i="1"/>
  <c r="N37" i="1"/>
  <c r="N38" i="1"/>
  <c r="N39" i="1"/>
  <c r="N40" i="1"/>
  <c r="N41" i="1"/>
  <c r="N42" i="1"/>
  <c r="N43" i="1"/>
  <c r="N44" i="1"/>
  <c r="N45" i="1"/>
  <c r="N46" i="1"/>
  <c r="N47" i="1"/>
  <c r="N48" i="1"/>
  <c r="N49" i="1"/>
  <c r="N50" i="1"/>
  <c r="N51" i="1"/>
  <c r="N52" i="1"/>
  <c r="N53" i="1"/>
  <c r="N54" i="1"/>
  <c r="N55" i="1"/>
  <c r="N56" i="1"/>
  <c r="N57" i="1"/>
  <c r="N58" i="1"/>
  <c r="N59" i="1"/>
  <c r="N60" i="1"/>
  <c r="N61" i="1"/>
  <c r="N62" i="1"/>
  <c r="N63" i="1"/>
  <c r="N64" i="1"/>
  <c r="N65" i="1"/>
  <c r="N66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99" i="1"/>
  <c r="N100" i="1"/>
  <c r="N10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58" i="1"/>
  <c r="N259" i="1"/>
  <c r="N260" i="1"/>
  <c r="N261" i="1"/>
  <c r="N262" i="1"/>
  <c r="N263" i="1"/>
  <c r="N264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0" i="1"/>
  <c r="N281" i="1"/>
  <c r="N282" i="1"/>
  <c r="N283" i="1"/>
  <c r="N284" i="1"/>
  <c r="N285" i="1"/>
  <c r="N286" i="1"/>
  <c r="N287" i="1"/>
  <c r="N288" i="1"/>
  <c r="N289" i="1"/>
  <c r="N290" i="1"/>
  <c r="N291" i="1"/>
  <c r="N292" i="1"/>
  <c r="N293" i="1"/>
  <c r="N294" i="1"/>
  <c r="N295" i="1"/>
  <c r="N296" i="1"/>
  <c r="N297" i="1"/>
  <c r="N298" i="1"/>
  <c r="N299" i="1"/>
  <c r="N300" i="1"/>
  <c r="N301" i="1"/>
  <c r="N302" i="1"/>
  <c r="N303" i="1"/>
  <c r="N304" i="1"/>
  <c r="N305" i="1"/>
  <c r="N306" i="1"/>
  <c r="N307" i="1"/>
  <c r="N308" i="1"/>
  <c r="N309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2" i="1"/>
  <c r="N323" i="1"/>
  <c r="N324" i="1"/>
  <c r="N325" i="1"/>
  <c r="N326" i="1"/>
  <c r="N327" i="1"/>
  <c r="N328" i="1"/>
  <c r="N329" i="1"/>
  <c r="N330" i="1"/>
  <c r="N331" i="1"/>
  <c r="N332" i="1"/>
  <c r="N333" i="1"/>
  <c r="N334" i="1"/>
  <c r="N335" i="1"/>
  <c r="N336" i="1"/>
  <c r="N337" i="1"/>
  <c r="N338" i="1"/>
  <c r="N339" i="1"/>
  <c r="N340" i="1"/>
  <c r="N341" i="1"/>
  <c r="N342" i="1"/>
  <c r="N343" i="1"/>
  <c r="N344" i="1"/>
  <c r="N345" i="1"/>
  <c r="N346" i="1"/>
  <c r="N347" i="1"/>
  <c r="N348" i="1"/>
  <c r="N349" i="1"/>
  <c r="N350" i="1"/>
  <c r="N351" i="1"/>
  <c r="N352" i="1"/>
  <c r="N353" i="1"/>
  <c r="N354" i="1"/>
  <c r="N355" i="1"/>
  <c r="N356" i="1"/>
  <c r="N357" i="1"/>
  <c r="N358" i="1"/>
  <c r="N359" i="1"/>
  <c r="N360" i="1"/>
  <c r="N361" i="1"/>
  <c r="N362" i="1"/>
  <c r="N363" i="1"/>
  <c r="N364" i="1"/>
  <c r="N365" i="1"/>
  <c r="N366" i="1"/>
  <c r="N367" i="1"/>
  <c r="N368" i="1"/>
  <c r="N369" i="1"/>
  <c r="N370" i="1"/>
  <c r="N371" i="1"/>
  <c r="N372" i="1"/>
  <c r="N373" i="1"/>
  <c r="N374" i="1"/>
  <c r="N375" i="1"/>
  <c r="N376" i="1"/>
  <c r="N377" i="1"/>
  <c r="N378" i="1"/>
  <c r="N379" i="1"/>
  <c r="N380" i="1"/>
  <c r="N381" i="1"/>
  <c r="N382" i="1"/>
  <c r="N383" i="1"/>
  <c r="N384" i="1"/>
  <c r="N385" i="1"/>
  <c r="N386" i="1"/>
  <c r="N387" i="1"/>
  <c r="N388" i="1"/>
  <c r="N389" i="1"/>
  <c r="N390" i="1"/>
  <c r="N391" i="1"/>
  <c r="N392" i="1"/>
  <c r="N393" i="1"/>
  <c r="N394" i="1"/>
  <c r="N395" i="1"/>
  <c r="N396" i="1"/>
  <c r="N397" i="1"/>
  <c r="N398" i="1"/>
  <c r="N399" i="1"/>
  <c r="N400" i="1"/>
  <c r="N401" i="1"/>
  <c r="N402" i="1"/>
  <c r="N403" i="1"/>
  <c r="N404" i="1"/>
  <c r="N405" i="1"/>
  <c r="N406" i="1"/>
  <c r="N407" i="1"/>
  <c r="N408" i="1"/>
  <c r="N409" i="1"/>
  <c r="N410" i="1"/>
  <c r="N411" i="1"/>
  <c r="N412" i="1"/>
  <c r="N413" i="1"/>
  <c r="N414" i="1"/>
  <c r="N415" i="1"/>
  <c r="N416" i="1"/>
  <c r="N417" i="1"/>
  <c r="N418" i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7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N504" i="1"/>
  <c r="N505" i="1"/>
  <c r="N506" i="1"/>
  <c r="N507" i="1"/>
  <c r="N508" i="1"/>
  <c r="N509" i="1"/>
  <c r="N510" i="1"/>
  <c r="N511" i="1"/>
  <c r="N512" i="1"/>
  <c r="N513" i="1"/>
  <c r="N514" i="1"/>
  <c r="N515" i="1"/>
  <c r="N516" i="1"/>
  <c r="N517" i="1"/>
  <c r="N518" i="1"/>
  <c r="N519" i="1"/>
  <c r="N520" i="1"/>
  <c r="N521" i="1"/>
  <c r="N522" i="1"/>
  <c r="N523" i="1"/>
  <c r="N524" i="1"/>
  <c r="N525" i="1"/>
  <c r="N526" i="1"/>
  <c r="N527" i="1"/>
  <c r="N528" i="1"/>
  <c r="N529" i="1"/>
  <c r="N530" i="1"/>
  <c r="N531" i="1"/>
  <c r="N532" i="1"/>
  <c r="N533" i="1"/>
  <c r="N534" i="1"/>
  <c r="N535" i="1"/>
  <c r="N536" i="1"/>
  <c r="N537" i="1"/>
  <c r="N538" i="1"/>
  <c r="N539" i="1"/>
  <c r="N540" i="1"/>
  <c r="N541" i="1"/>
  <c r="N542" i="1"/>
  <c r="N543" i="1"/>
  <c r="N544" i="1"/>
  <c r="N545" i="1"/>
  <c r="N546" i="1"/>
  <c r="N547" i="1"/>
  <c r="N548" i="1"/>
  <c r="N549" i="1"/>
  <c r="N550" i="1"/>
  <c r="N551" i="1"/>
  <c r="N552" i="1"/>
  <c r="N553" i="1"/>
  <c r="N554" i="1"/>
  <c r="N555" i="1"/>
  <c r="N556" i="1"/>
  <c r="N557" i="1"/>
  <c r="N558" i="1"/>
  <c r="N559" i="1"/>
  <c r="N560" i="1"/>
  <c r="N561" i="1"/>
  <c r="N562" i="1"/>
  <c r="N563" i="1"/>
  <c r="N564" i="1"/>
  <c r="N565" i="1"/>
  <c r="N566" i="1"/>
  <c r="N567" i="1"/>
  <c r="N568" i="1"/>
  <c r="N569" i="1"/>
  <c r="N570" i="1"/>
  <c r="N571" i="1"/>
  <c r="N572" i="1"/>
  <c r="N573" i="1"/>
  <c r="N574" i="1"/>
  <c r="N575" i="1"/>
  <c r="N576" i="1"/>
  <c r="N577" i="1"/>
  <c r="N578" i="1"/>
  <c r="N579" i="1"/>
  <c r="N580" i="1"/>
  <c r="N581" i="1"/>
  <c r="N582" i="1"/>
  <c r="N583" i="1"/>
  <c r="N584" i="1"/>
  <c r="N585" i="1"/>
  <c r="N586" i="1"/>
  <c r="N587" i="1"/>
  <c r="N588" i="1"/>
  <c r="N589" i="1"/>
  <c r="N590" i="1"/>
  <c r="N591" i="1"/>
  <c r="N592" i="1"/>
  <c r="N593" i="1"/>
  <c r="N594" i="1"/>
  <c r="N595" i="1"/>
  <c r="N596" i="1"/>
  <c r="N597" i="1"/>
  <c r="N598" i="1"/>
  <c r="N599" i="1"/>
  <c r="N600" i="1"/>
  <c r="N601" i="1"/>
  <c r="N602" i="1"/>
  <c r="N603" i="1"/>
  <c r="N604" i="1"/>
  <c r="N605" i="1"/>
  <c r="N606" i="1"/>
  <c r="N607" i="1"/>
  <c r="N608" i="1"/>
  <c r="N609" i="1"/>
  <c r="N610" i="1"/>
  <c r="N611" i="1"/>
  <c r="N612" i="1"/>
  <c r="N613" i="1"/>
  <c r="N614" i="1"/>
  <c r="N615" i="1"/>
  <c r="N616" i="1"/>
  <c r="N617" i="1"/>
  <c r="N618" i="1"/>
  <c r="N619" i="1"/>
  <c r="N620" i="1"/>
  <c r="N621" i="1"/>
  <c r="N622" i="1"/>
  <c r="N623" i="1"/>
  <c r="N624" i="1"/>
  <c r="N625" i="1"/>
  <c r="N626" i="1"/>
  <c r="N627" i="1"/>
  <c r="N628" i="1"/>
  <c r="N629" i="1"/>
  <c r="N630" i="1"/>
  <c r="N631" i="1"/>
  <c r="N632" i="1"/>
  <c r="N633" i="1"/>
  <c r="N634" i="1"/>
  <c r="N635" i="1"/>
  <c r="N636" i="1"/>
  <c r="N637" i="1"/>
  <c r="N638" i="1"/>
  <c r="N639" i="1"/>
  <c r="N640" i="1"/>
  <c r="N641" i="1"/>
  <c r="N642" i="1"/>
  <c r="N643" i="1"/>
  <c r="N644" i="1"/>
  <c r="N645" i="1"/>
  <c r="N646" i="1"/>
  <c r="N647" i="1"/>
  <c r="N648" i="1"/>
  <c r="N649" i="1"/>
  <c r="N650" i="1"/>
  <c r="N651" i="1"/>
  <c r="N652" i="1"/>
  <c r="N653" i="1"/>
  <c r="N654" i="1"/>
  <c r="N655" i="1"/>
  <c r="N656" i="1"/>
  <c r="N657" i="1"/>
  <c r="N658" i="1"/>
  <c r="N659" i="1"/>
  <c r="N660" i="1"/>
  <c r="N661" i="1"/>
  <c r="N662" i="1"/>
  <c r="N663" i="1"/>
  <c r="N664" i="1"/>
  <c r="N665" i="1"/>
  <c r="N666" i="1"/>
  <c r="N667" i="1"/>
  <c r="N668" i="1"/>
  <c r="N669" i="1"/>
  <c r="N670" i="1"/>
  <c r="N671" i="1"/>
  <c r="N672" i="1"/>
  <c r="N673" i="1"/>
  <c r="N674" i="1"/>
  <c r="N675" i="1"/>
  <c r="N676" i="1"/>
  <c r="N677" i="1"/>
  <c r="N678" i="1"/>
  <c r="N679" i="1"/>
  <c r="N680" i="1"/>
  <c r="N681" i="1"/>
  <c r="N682" i="1"/>
  <c r="N683" i="1"/>
  <c r="N684" i="1"/>
  <c r="N685" i="1"/>
  <c r="N686" i="1"/>
  <c r="N687" i="1"/>
  <c r="N688" i="1"/>
  <c r="N689" i="1"/>
  <c r="N690" i="1"/>
  <c r="N691" i="1"/>
  <c r="N692" i="1"/>
  <c r="N693" i="1"/>
  <c r="N694" i="1"/>
  <c r="N695" i="1"/>
  <c r="N696" i="1"/>
  <c r="N697" i="1"/>
  <c r="N698" i="1"/>
  <c r="N699" i="1"/>
  <c r="N700" i="1"/>
  <c r="N701" i="1"/>
  <c r="N702" i="1"/>
  <c r="N703" i="1"/>
  <c r="N704" i="1"/>
  <c r="N705" i="1"/>
  <c r="N706" i="1"/>
  <c r="N707" i="1"/>
  <c r="N708" i="1"/>
  <c r="N709" i="1"/>
  <c r="N710" i="1"/>
  <c r="N711" i="1"/>
  <c r="N712" i="1"/>
  <c r="N713" i="1"/>
  <c r="N714" i="1"/>
  <c r="N715" i="1"/>
  <c r="N716" i="1"/>
  <c r="N717" i="1"/>
  <c r="N718" i="1"/>
  <c r="N719" i="1"/>
  <c r="N720" i="1"/>
  <c r="N721" i="1"/>
  <c r="N722" i="1"/>
  <c r="N723" i="1"/>
  <c r="N724" i="1"/>
  <c r="N725" i="1"/>
  <c r="N726" i="1"/>
  <c r="N727" i="1"/>
  <c r="N728" i="1"/>
  <c r="N729" i="1"/>
  <c r="N730" i="1"/>
  <c r="N731" i="1"/>
  <c r="N732" i="1"/>
  <c r="N733" i="1"/>
  <c r="N734" i="1"/>
  <c r="N735" i="1"/>
  <c r="N736" i="1"/>
  <c r="N737" i="1"/>
  <c r="N738" i="1"/>
  <c r="N739" i="1"/>
  <c r="N740" i="1"/>
  <c r="N741" i="1"/>
  <c r="N742" i="1"/>
  <c r="N743" i="1"/>
  <c r="N744" i="1"/>
  <c r="N745" i="1"/>
  <c r="N746" i="1"/>
  <c r="N747" i="1"/>
  <c r="N748" i="1"/>
  <c r="N749" i="1"/>
  <c r="N750" i="1"/>
  <c r="N751" i="1"/>
  <c r="N752" i="1"/>
  <c r="N753" i="1"/>
  <c r="N754" i="1"/>
  <c r="N755" i="1"/>
  <c r="N756" i="1"/>
  <c r="N757" i="1"/>
  <c r="N758" i="1"/>
  <c r="N759" i="1"/>
  <c r="N760" i="1"/>
  <c r="N761" i="1"/>
  <c r="N762" i="1"/>
  <c r="N763" i="1"/>
  <c r="N764" i="1"/>
  <c r="N765" i="1"/>
  <c r="N766" i="1"/>
  <c r="N767" i="1"/>
  <c r="N768" i="1"/>
  <c r="N769" i="1"/>
  <c r="N770" i="1"/>
  <c r="N771" i="1"/>
  <c r="N772" i="1"/>
  <c r="N773" i="1"/>
  <c r="N774" i="1"/>
  <c r="N775" i="1"/>
  <c r="N776" i="1"/>
  <c r="N777" i="1"/>
  <c r="N778" i="1"/>
  <c r="N779" i="1"/>
  <c r="N780" i="1"/>
  <c r="N781" i="1"/>
  <c r="N782" i="1"/>
  <c r="N783" i="1"/>
  <c r="N784" i="1"/>
  <c r="N785" i="1"/>
  <c r="N786" i="1"/>
  <c r="N787" i="1"/>
  <c r="N788" i="1"/>
  <c r="N789" i="1"/>
  <c r="N790" i="1"/>
  <c r="N791" i="1"/>
  <c r="N792" i="1"/>
  <c r="N793" i="1"/>
  <c r="N794" i="1"/>
  <c r="N795" i="1"/>
  <c r="N796" i="1"/>
  <c r="N797" i="1"/>
  <c r="N798" i="1"/>
  <c r="N799" i="1"/>
  <c r="N800" i="1"/>
  <c r="N801" i="1"/>
  <c r="N802" i="1"/>
  <c r="N803" i="1"/>
  <c r="N804" i="1"/>
  <c r="N805" i="1"/>
  <c r="N806" i="1"/>
  <c r="N807" i="1"/>
  <c r="N808" i="1"/>
  <c r="N809" i="1"/>
  <c r="N810" i="1"/>
  <c r="N811" i="1"/>
  <c r="N812" i="1"/>
  <c r="N813" i="1"/>
  <c r="N814" i="1"/>
  <c r="N815" i="1"/>
  <c r="N816" i="1"/>
  <c r="N817" i="1"/>
  <c r="N818" i="1"/>
  <c r="N819" i="1"/>
  <c r="N820" i="1"/>
  <c r="N821" i="1"/>
  <c r="N822" i="1"/>
  <c r="N823" i="1"/>
  <c r="N824" i="1"/>
  <c r="N825" i="1"/>
  <c r="N826" i="1"/>
  <c r="N827" i="1"/>
  <c r="N828" i="1"/>
  <c r="N829" i="1"/>
  <c r="N830" i="1"/>
  <c r="N831" i="1"/>
  <c r="N832" i="1"/>
  <c r="N833" i="1"/>
  <c r="N834" i="1"/>
  <c r="N835" i="1"/>
  <c r="N836" i="1"/>
  <c r="N837" i="1"/>
  <c r="N838" i="1"/>
  <c r="N839" i="1"/>
  <c r="N840" i="1"/>
  <c r="N841" i="1"/>
  <c r="N842" i="1"/>
  <c r="N843" i="1"/>
  <c r="N844" i="1"/>
  <c r="N845" i="1"/>
  <c r="N846" i="1"/>
  <c r="N847" i="1"/>
  <c r="N848" i="1"/>
  <c r="N849" i="1"/>
  <c r="N850" i="1"/>
  <c r="N851" i="1"/>
  <c r="N852" i="1"/>
  <c r="N853" i="1"/>
  <c r="N854" i="1"/>
  <c r="N855" i="1"/>
  <c r="N856" i="1"/>
  <c r="N857" i="1"/>
  <c r="N858" i="1"/>
  <c r="N859" i="1"/>
  <c r="N860" i="1"/>
  <c r="N861" i="1"/>
  <c r="N862" i="1"/>
  <c r="N863" i="1"/>
  <c r="N864" i="1"/>
  <c r="N865" i="1"/>
  <c r="N866" i="1"/>
  <c r="N867" i="1"/>
  <c r="N868" i="1"/>
  <c r="N869" i="1"/>
  <c r="N870" i="1"/>
  <c r="N871" i="1"/>
  <c r="N872" i="1"/>
  <c r="N873" i="1"/>
  <c r="N874" i="1"/>
  <c r="N875" i="1"/>
  <c r="N876" i="1"/>
  <c r="N877" i="1"/>
  <c r="N878" i="1"/>
  <c r="N879" i="1"/>
  <c r="N880" i="1"/>
  <c r="N881" i="1"/>
  <c r="N882" i="1"/>
  <c r="N883" i="1"/>
  <c r="N884" i="1"/>
  <c r="N885" i="1"/>
  <c r="N886" i="1"/>
  <c r="N887" i="1"/>
  <c r="N888" i="1"/>
  <c r="N889" i="1"/>
  <c r="N890" i="1"/>
  <c r="N891" i="1"/>
  <c r="N892" i="1"/>
  <c r="N893" i="1"/>
  <c r="N894" i="1"/>
  <c r="N895" i="1"/>
  <c r="N896" i="1"/>
  <c r="N897" i="1"/>
  <c r="N898" i="1"/>
  <c r="N899" i="1"/>
  <c r="N900" i="1"/>
  <c r="N901" i="1"/>
  <c r="N902" i="1"/>
  <c r="N903" i="1"/>
  <c r="N904" i="1"/>
  <c r="N905" i="1"/>
  <c r="N906" i="1"/>
  <c r="N907" i="1"/>
  <c r="N908" i="1"/>
  <c r="N909" i="1"/>
  <c r="N910" i="1"/>
  <c r="N911" i="1"/>
  <c r="N912" i="1"/>
  <c r="N913" i="1"/>
  <c r="N914" i="1"/>
  <c r="N915" i="1"/>
  <c r="N916" i="1"/>
  <c r="N917" i="1"/>
  <c r="N918" i="1"/>
  <c r="N919" i="1"/>
  <c r="N920" i="1"/>
  <c r="N921" i="1"/>
  <c r="N922" i="1"/>
  <c r="N923" i="1"/>
  <c r="N924" i="1"/>
  <c r="N925" i="1"/>
  <c r="N926" i="1"/>
  <c r="N927" i="1"/>
  <c r="N928" i="1"/>
  <c r="N929" i="1"/>
  <c r="N930" i="1"/>
  <c r="N931" i="1"/>
  <c r="N932" i="1"/>
  <c r="N933" i="1"/>
  <c r="N934" i="1"/>
  <c r="N935" i="1"/>
  <c r="N936" i="1"/>
  <c r="N937" i="1"/>
  <c r="N938" i="1"/>
  <c r="N939" i="1"/>
  <c r="N940" i="1"/>
  <c r="N941" i="1"/>
  <c r="N942" i="1"/>
  <c r="N943" i="1"/>
  <c r="N944" i="1"/>
  <c r="N945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R202" i="1"/>
  <c r="R203" i="1"/>
  <c r="R204" i="1"/>
  <c r="R205" i="1"/>
  <c r="R206" i="1"/>
  <c r="R207" i="1"/>
  <c r="R208" i="1"/>
  <c r="R209" i="1"/>
  <c r="R210" i="1"/>
  <c r="R211" i="1"/>
  <c r="R212" i="1"/>
  <c r="R213" i="1"/>
  <c r="R214" i="1"/>
  <c r="R215" i="1"/>
  <c r="R216" i="1"/>
  <c r="R217" i="1"/>
  <c r="R218" i="1"/>
  <c r="R219" i="1"/>
  <c r="R220" i="1"/>
  <c r="R221" i="1"/>
  <c r="R222" i="1"/>
  <c r="R223" i="1"/>
  <c r="R224" i="1"/>
  <c r="R225" i="1"/>
  <c r="R226" i="1"/>
  <c r="R227" i="1"/>
  <c r="R228" i="1"/>
  <c r="R229" i="1"/>
  <c r="R230" i="1"/>
  <c r="R231" i="1"/>
  <c r="R232" i="1"/>
  <c r="R233" i="1"/>
  <c r="R234" i="1"/>
  <c r="R235" i="1"/>
  <c r="R236" i="1"/>
  <c r="R237" i="1"/>
  <c r="R238" i="1"/>
  <c r="R239" i="1"/>
  <c r="R240" i="1"/>
  <c r="R241" i="1"/>
  <c r="R242" i="1"/>
  <c r="R243" i="1"/>
  <c r="R244" i="1"/>
  <c r="R245" i="1"/>
  <c r="R246" i="1"/>
  <c r="R247" i="1"/>
  <c r="R248" i="1"/>
  <c r="R249" i="1"/>
  <c r="R250" i="1"/>
  <c r="R251" i="1"/>
  <c r="R252" i="1"/>
  <c r="R253" i="1"/>
  <c r="R254" i="1"/>
  <c r="R255" i="1"/>
  <c r="R256" i="1"/>
  <c r="R257" i="1"/>
  <c r="R258" i="1"/>
  <c r="R259" i="1"/>
  <c r="R260" i="1"/>
  <c r="R261" i="1"/>
  <c r="R262" i="1"/>
  <c r="R263" i="1"/>
  <c r="R264" i="1"/>
  <c r="R265" i="1"/>
  <c r="R266" i="1"/>
  <c r="R267" i="1"/>
  <c r="R268" i="1"/>
  <c r="R269" i="1"/>
  <c r="R270" i="1"/>
  <c r="R271" i="1"/>
  <c r="R272" i="1"/>
  <c r="R273" i="1"/>
  <c r="R274" i="1"/>
  <c r="R275" i="1"/>
  <c r="R276" i="1"/>
  <c r="R277" i="1"/>
  <c r="R278" i="1"/>
  <c r="R279" i="1"/>
  <c r="R280" i="1"/>
  <c r="R281" i="1"/>
  <c r="R282" i="1"/>
  <c r="R283" i="1"/>
  <c r="R284" i="1"/>
  <c r="R285" i="1"/>
  <c r="R286" i="1"/>
  <c r="R287" i="1"/>
  <c r="R288" i="1"/>
  <c r="R289" i="1"/>
  <c r="R290" i="1"/>
  <c r="R291" i="1"/>
  <c r="R292" i="1"/>
  <c r="R293" i="1"/>
  <c r="R294" i="1"/>
  <c r="R295" i="1"/>
  <c r="R296" i="1"/>
  <c r="R297" i="1"/>
  <c r="R298" i="1"/>
  <c r="R299" i="1"/>
  <c r="R300" i="1"/>
  <c r="R301" i="1"/>
  <c r="R302" i="1"/>
  <c r="R303" i="1"/>
  <c r="R304" i="1"/>
  <c r="R305" i="1"/>
  <c r="R306" i="1"/>
  <c r="R307" i="1"/>
  <c r="R308" i="1"/>
  <c r="R309" i="1"/>
  <c r="R310" i="1"/>
  <c r="R311" i="1"/>
  <c r="R312" i="1"/>
  <c r="R313" i="1"/>
  <c r="R314" i="1"/>
  <c r="R315" i="1"/>
  <c r="R316" i="1"/>
  <c r="R317" i="1"/>
  <c r="R318" i="1"/>
  <c r="R319" i="1"/>
  <c r="R320" i="1"/>
  <c r="R321" i="1"/>
  <c r="R322" i="1"/>
  <c r="R323" i="1"/>
  <c r="R324" i="1"/>
  <c r="R325" i="1"/>
  <c r="R326" i="1"/>
  <c r="R327" i="1"/>
  <c r="R328" i="1"/>
  <c r="R329" i="1"/>
  <c r="R330" i="1"/>
  <c r="R331" i="1"/>
  <c r="R332" i="1"/>
  <c r="R333" i="1"/>
  <c r="R334" i="1"/>
  <c r="R335" i="1"/>
  <c r="R336" i="1"/>
  <c r="R337" i="1"/>
  <c r="R338" i="1"/>
  <c r="R339" i="1"/>
  <c r="R340" i="1"/>
  <c r="R341" i="1"/>
  <c r="R342" i="1"/>
  <c r="R343" i="1"/>
  <c r="R344" i="1"/>
  <c r="R345" i="1"/>
  <c r="R346" i="1"/>
  <c r="R347" i="1"/>
  <c r="R348" i="1"/>
  <c r="R349" i="1"/>
  <c r="R350" i="1"/>
  <c r="R351" i="1"/>
  <c r="R352" i="1"/>
  <c r="R353" i="1"/>
  <c r="R354" i="1"/>
  <c r="R355" i="1"/>
  <c r="R356" i="1"/>
  <c r="R357" i="1"/>
  <c r="R358" i="1"/>
  <c r="R359" i="1"/>
  <c r="R360" i="1"/>
  <c r="R361" i="1"/>
  <c r="R362" i="1"/>
  <c r="R363" i="1"/>
  <c r="R364" i="1"/>
  <c r="R365" i="1"/>
  <c r="R366" i="1"/>
  <c r="R367" i="1"/>
  <c r="R368" i="1"/>
  <c r="R369" i="1"/>
  <c r="R370" i="1"/>
  <c r="R371" i="1"/>
  <c r="R372" i="1"/>
  <c r="R373" i="1"/>
  <c r="R374" i="1"/>
  <c r="R375" i="1"/>
  <c r="R376" i="1"/>
  <c r="R377" i="1"/>
  <c r="R378" i="1"/>
  <c r="R379" i="1"/>
  <c r="R380" i="1"/>
  <c r="R381" i="1"/>
  <c r="R382" i="1"/>
  <c r="R383" i="1"/>
  <c r="R384" i="1"/>
  <c r="R385" i="1"/>
  <c r="R386" i="1"/>
  <c r="R387" i="1"/>
  <c r="R388" i="1"/>
  <c r="R389" i="1"/>
  <c r="R390" i="1"/>
  <c r="R391" i="1"/>
  <c r="R392" i="1"/>
  <c r="R393" i="1"/>
  <c r="R394" i="1"/>
  <c r="R395" i="1"/>
  <c r="R396" i="1"/>
  <c r="R397" i="1"/>
  <c r="R398" i="1"/>
  <c r="R399" i="1"/>
  <c r="R400" i="1"/>
  <c r="R401" i="1"/>
  <c r="R402" i="1"/>
  <c r="R403" i="1"/>
  <c r="R404" i="1"/>
  <c r="R405" i="1"/>
  <c r="R406" i="1"/>
  <c r="R407" i="1"/>
  <c r="R408" i="1"/>
  <c r="R409" i="1"/>
  <c r="R410" i="1"/>
  <c r="R411" i="1"/>
  <c r="R412" i="1"/>
  <c r="R413" i="1"/>
  <c r="R414" i="1"/>
  <c r="R415" i="1"/>
  <c r="R416" i="1"/>
  <c r="R417" i="1"/>
  <c r="R418" i="1"/>
  <c r="R419" i="1"/>
  <c r="R420" i="1"/>
  <c r="R421" i="1"/>
  <c r="R422" i="1"/>
  <c r="R423" i="1"/>
  <c r="R424" i="1"/>
  <c r="R425" i="1"/>
  <c r="R426" i="1"/>
  <c r="R427" i="1"/>
  <c r="R428" i="1"/>
  <c r="R429" i="1"/>
  <c r="R430" i="1"/>
  <c r="R431" i="1"/>
  <c r="R432" i="1"/>
  <c r="R433" i="1"/>
  <c r="R434" i="1"/>
  <c r="R435" i="1"/>
  <c r="R436" i="1"/>
  <c r="R437" i="1"/>
  <c r="R438" i="1"/>
  <c r="R439" i="1"/>
  <c r="R440" i="1"/>
  <c r="R441" i="1"/>
  <c r="R442" i="1"/>
  <c r="R443" i="1"/>
  <c r="R444" i="1"/>
  <c r="R445" i="1"/>
  <c r="R446" i="1"/>
  <c r="R447" i="1"/>
  <c r="R448" i="1"/>
  <c r="R449" i="1"/>
  <c r="R450" i="1"/>
  <c r="R451" i="1"/>
  <c r="R452" i="1"/>
  <c r="R453" i="1"/>
  <c r="R454" i="1"/>
  <c r="R455" i="1"/>
  <c r="R456" i="1"/>
  <c r="R457" i="1"/>
  <c r="R458" i="1"/>
  <c r="R459" i="1"/>
  <c r="R460" i="1"/>
  <c r="R461" i="1"/>
  <c r="R462" i="1"/>
  <c r="R463" i="1"/>
  <c r="R464" i="1"/>
  <c r="R465" i="1"/>
  <c r="R466" i="1"/>
  <c r="R467" i="1"/>
  <c r="R468" i="1"/>
  <c r="R469" i="1"/>
  <c r="R470" i="1"/>
  <c r="R471" i="1"/>
  <c r="R472" i="1"/>
  <c r="R473" i="1"/>
  <c r="R474" i="1"/>
  <c r="R475" i="1"/>
  <c r="R476" i="1"/>
  <c r="R477" i="1"/>
  <c r="R478" i="1"/>
  <c r="R479" i="1"/>
  <c r="R480" i="1"/>
  <c r="R481" i="1"/>
  <c r="R482" i="1"/>
  <c r="R483" i="1"/>
  <c r="R484" i="1"/>
  <c r="R485" i="1"/>
  <c r="R486" i="1"/>
  <c r="R487" i="1"/>
  <c r="R488" i="1"/>
  <c r="R489" i="1"/>
  <c r="R490" i="1"/>
  <c r="R491" i="1"/>
  <c r="R492" i="1"/>
  <c r="R493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5" i="1"/>
  <c r="R536" i="1"/>
  <c r="R537" i="1"/>
  <c r="R538" i="1"/>
  <c r="R539" i="1"/>
  <c r="R540" i="1"/>
  <c r="R541" i="1"/>
  <c r="R542" i="1"/>
  <c r="R543" i="1"/>
  <c r="R544" i="1"/>
  <c r="R545" i="1"/>
  <c r="R546" i="1"/>
  <c r="R547" i="1"/>
  <c r="R548" i="1"/>
  <c r="R549" i="1"/>
  <c r="R550" i="1"/>
  <c r="R551" i="1"/>
  <c r="R552" i="1"/>
  <c r="R553" i="1"/>
  <c r="R554" i="1"/>
  <c r="R555" i="1"/>
  <c r="R556" i="1"/>
  <c r="R557" i="1"/>
  <c r="R558" i="1"/>
  <c r="R559" i="1"/>
  <c r="R560" i="1"/>
  <c r="R561" i="1"/>
  <c r="R562" i="1"/>
  <c r="R563" i="1"/>
  <c r="R564" i="1"/>
  <c r="R565" i="1"/>
  <c r="R566" i="1"/>
  <c r="R567" i="1"/>
  <c r="R568" i="1"/>
  <c r="R569" i="1"/>
  <c r="R570" i="1"/>
  <c r="R571" i="1"/>
  <c r="R572" i="1"/>
  <c r="R573" i="1"/>
  <c r="R574" i="1"/>
  <c r="R575" i="1"/>
  <c r="R576" i="1"/>
  <c r="R577" i="1"/>
  <c r="R578" i="1"/>
  <c r="R579" i="1"/>
  <c r="R580" i="1"/>
  <c r="R581" i="1"/>
  <c r="R582" i="1"/>
  <c r="R583" i="1"/>
  <c r="R584" i="1"/>
  <c r="R585" i="1"/>
  <c r="R586" i="1"/>
  <c r="R587" i="1"/>
  <c r="R588" i="1"/>
  <c r="R589" i="1"/>
  <c r="R590" i="1"/>
  <c r="R591" i="1"/>
  <c r="R592" i="1"/>
  <c r="R593" i="1"/>
  <c r="R594" i="1"/>
  <c r="R595" i="1"/>
  <c r="R596" i="1"/>
  <c r="R597" i="1"/>
  <c r="R598" i="1"/>
  <c r="R599" i="1"/>
  <c r="R600" i="1"/>
  <c r="R601" i="1"/>
  <c r="R602" i="1"/>
  <c r="R603" i="1"/>
  <c r="R604" i="1"/>
  <c r="R605" i="1"/>
  <c r="R606" i="1"/>
  <c r="R607" i="1"/>
  <c r="R608" i="1"/>
  <c r="R609" i="1"/>
  <c r="R610" i="1"/>
  <c r="R611" i="1"/>
  <c r="R612" i="1"/>
  <c r="R613" i="1"/>
  <c r="R614" i="1"/>
  <c r="R615" i="1"/>
  <c r="R616" i="1"/>
  <c r="R617" i="1"/>
  <c r="R618" i="1"/>
  <c r="R619" i="1"/>
  <c r="R620" i="1"/>
  <c r="R621" i="1"/>
  <c r="R622" i="1"/>
  <c r="R623" i="1"/>
  <c r="R624" i="1"/>
  <c r="R625" i="1"/>
  <c r="R626" i="1"/>
  <c r="R627" i="1"/>
  <c r="R628" i="1"/>
  <c r="R629" i="1"/>
  <c r="R630" i="1"/>
  <c r="R631" i="1"/>
  <c r="R632" i="1"/>
  <c r="R633" i="1"/>
  <c r="R634" i="1"/>
  <c r="R635" i="1"/>
  <c r="R636" i="1"/>
  <c r="R637" i="1"/>
  <c r="R638" i="1"/>
  <c r="R639" i="1"/>
  <c r="R640" i="1"/>
  <c r="R641" i="1"/>
  <c r="R642" i="1"/>
  <c r="R643" i="1"/>
  <c r="R644" i="1"/>
  <c r="R645" i="1"/>
  <c r="R646" i="1"/>
  <c r="R647" i="1"/>
  <c r="R648" i="1"/>
  <c r="R649" i="1"/>
  <c r="R650" i="1"/>
  <c r="R651" i="1"/>
  <c r="R652" i="1"/>
  <c r="R653" i="1"/>
  <c r="R654" i="1"/>
  <c r="R655" i="1"/>
  <c r="R656" i="1"/>
  <c r="R657" i="1"/>
  <c r="R658" i="1"/>
  <c r="R659" i="1"/>
  <c r="R660" i="1"/>
  <c r="R661" i="1"/>
  <c r="R662" i="1"/>
  <c r="R663" i="1"/>
  <c r="R664" i="1"/>
  <c r="R665" i="1"/>
  <c r="R666" i="1"/>
  <c r="R667" i="1"/>
  <c r="R668" i="1"/>
  <c r="R669" i="1"/>
  <c r="R670" i="1"/>
  <c r="R671" i="1"/>
  <c r="R672" i="1"/>
  <c r="R673" i="1"/>
  <c r="R674" i="1"/>
  <c r="R675" i="1"/>
  <c r="R676" i="1"/>
  <c r="R677" i="1"/>
  <c r="R678" i="1"/>
  <c r="R679" i="1"/>
  <c r="R680" i="1"/>
  <c r="R681" i="1"/>
  <c r="R682" i="1"/>
  <c r="R683" i="1"/>
  <c r="R684" i="1"/>
  <c r="R685" i="1"/>
  <c r="R686" i="1"/>
  <c r="R687" i="1"/>
  <c r="R688" i="1"/>
  <c r="R689" i="1"/>
  <c r="R690" i="1"/>
  <c r="R691" i="1"/>
  <c r="R692" i="1"/>
  <c r="R693" i="1"/>
  <c r="R694" i="1"/>
  <c r="R695" i="1"/>
  <c r="R696" i="1"/>
  <c r="R697" i="1"/>
  <c r="R698" i="1"/>
  <c r="R699" i="1"/>
  <c r="R700" i="1"/>
  <c r="R701" i="1"/>
  <c r="R702" i="1"/>
  <c r="R703" i="1"/>
  <c r="R704" i="1"/>
  <c r="R705" i="1"/>
  <c r="R706" i="1"/>
  <c r="R707" i="1"/>
  <c r="R708" i="1"/>
  <c r="R709" i="1"/>
  <c r="R710" i="1"/>
  <c r="R711" i="1"/>
  <c r="R712" i="1"/>
  <c r="R713" i="1"/>
  <c r="R714" i="1"/>
  <c r="R715" i="1"/>
  <c r="R716" i="1"/>
  <c r="R717" i="1"/>
  <c r="R718" i="1"/>
  <c r="R719" i="1"/>
  <c r="R720" i="1"/>
  <c r="R721" i="1"/>
  <c r="R722" i="1"/>
  <c r="R723" i="1"/>
  <c r="R724" i="1"/>
  <c r="R725" i="1"/>
  <c r="R726" i="1"/>
  <c r="R727" i="1"/>
  <c r="R728" i="1"/>
  <c r="R729" i="1"/>
  <c r="R730" i="1"/>
  <c r="R731" i="1"/>
  <c r="R732" i="1"/>
  <c r="R733" i="1"/>
  <c r="R734" i="1"/>
  <c r="R735" i="1"/>
  <c r="R736" i="1"/>
  <c r="R737" i="1"/>
  <c r="R738" i="1"/>
  <c r="R739" i="1"/>
  <c r="R740" i="1"/>
  <c r="R741" i="1"/>
  <c r="R742" i="1"/>
  <c r="R743" i="1"/>
  <c r="R744" i="1"/>
  <c r="R745" i="1"/>
  <c r="R746" i="1"/>
  <c r="R747" i="1"/>
  <c r="R748" i="1"/>
  <c r="R749" i="1"/>
  <c r="R750" i="1"/>
  <c r="R751" i="1"/>
  <c r="R752" i="1"/>
  <c r="R753" i="1"/>
  <c r="R754" i="1"/>
  <c r="R755" i="1"/>
  <c r="R756" i="1"/>
  <c r="R757" i="1"/>
  <c r="R758" i="1"/>
  <c r="R759" i="1"/>
  <c r="R760" i="1"/>
  <c r="R761" i="1"/>
  <c r="R762" i="1"/>
  <c r="R763" i="1"/>
  <c r="R764" i="1"/>
  <c r="R765" i="1"/>
  <c r="R766" i="1"/>
  <c r="R767" i="1"/>
  <c r="R768" i="1"/>
  <c r="R769" i="1"/>
  <c r="R770" i="1"/>
  <c r="R771" i="1"/>
  <c r="R772" i="1"/>
  <c r="R773" i="1"/>
  <c r="R774" i="1"/>
  <c r="R775" i="1"/>
  <c r="R776" i="1"/>
  <c r="R777" i="1"/>
  <c r="R778" i="1"/>
  <c r="R779" i="1"/>
  <c r="R780" i="1"/>
  <c r="R781" i="1"/>
  <c r="R782" i="1"/>
  <c r="R783" i="1"/>
  <c r="R784" i="1"/>
  <c r="R785" i="1"/>
  <c r="R786" i="1"/>
  <c r="R787" i="1"/>
  <c r="R788" i="1"/>
  <c r="R789" i="1"/>
  <c r="R790" i="1"/>
  <c r="R791" i="1"/>
  <c r="R792" i="1"/>
  <c r="R793" i="1"/>
  <c r="R794" i="1"/>
  <c r="R795" i="1"/>
  <c r="R796" i="1"/>
  <c r="R797" i="1"/>
  <c r="R798" i="1"/>
  <c r="R799" i="1"/>
  <c r="R800" i="1"/>
  <c r="R801" i="1"/>
  <c r="R802" i="1"/>
  <c r="R803" i="1"/>
  <c r="R804" i="1"/>
  <c r="R805" i="1"/>
  <c r="R806" i="1"/>
  <c r="R807" i="1"/>
  <c r="R808" i="1"/>
  <c r="R809" i="1"/>
  <c r="R810" i="1"/>
  <c r="R811" i="1"/>
  <c r="R812" i="1"/>
  <c r="R813" i="1"/>
  <c r="R814" i="1"/>
  <c r="R815" i="1"/>
  <c r="R816" i="1"/>
  <c r="R817" i="1"/>
  <c r="R818" i="1"/>
  <c r="R819" i="1"/>
  <c r="R820" i="1"/>
  <c r="R821" i="1"/>
  <c r="R822" i="1"/>
  <c r="R823" i="1"/>
  <c r="R824" i="1"/>
  <c r="R825" i="1"/>
  <c r="R826" i="1"/>
  <c r="R827" i="1"/>
  <c r="R828" i="1"/>
  <c r="R829" i="1"/>
  <c r="R830" i="1"/>
  <c r="R831" i="1"/>
  <c r="R832" i="1"/>
  <c r="R833" i="1"/>
  <c r="R834" i="1"/>
  <c r="R835" i="1"/>
  <c r="R836" i="1"/>
  <c r="R837" i="1"/>
  <c r="R838" i="1"/>
  <c r="R839" i="1"/>
  <c r="R840" i="1"/>
  <c r="R841" i="1"/>
  <c r="R842" i="1"/>
  <c r="R843" i="1"/>
  <c r="R844" i="1"/>
  <c r="R845" i="1"/>
  <c r="R846" i="1"/>
  <c r="R847" i="1"/>
  <c r="R848" i="1"/>
  <c r="R849" i="1"/>
  <c r="R850" i="1"/>
  <c r="R851" i="1"/>
  <c r="R852" i="1"/>
  <c r="R853" i="1"/>
  <c r="R854" i="1"/>
  <c r="R855" i="1"/>
  <c r="R856" i="1"/>
  <c r="R857" i="1"/>
  <c r="R858" i="1"/>
  <c r="R859" i="1"/>
  <c r="R860" i="1"/>
  <c r="R861" i="1"/>
  <c r="R862" i="1"/>
  <c r="R863" i="1"/>
  <c r="R864" i="1"/>
  <c r="R865" i="1"/>
  <c r="R866" i="1"/>
  <c r="R867" i="1"/>
  <c r="R868" i="1"/>
  <c r="R869" i="1"/>
  <c r="R870" i="1"/>
  <c r="R871" i="1"/>
  <c r="R872" i="1"/>
  <c r="R873" i="1"/>
  <c r="R874" i="1"/>
  <c r="R875" i="1"/>
  <c r="R876" i="1"/>
  <c r="R877" i="1"/>
  <c r="R878" i="1"/>
  <c r="R879" i="1"/>
  <c r="R880" i="1"/>
  <c r="R881" i="1"/>
  <c r="R882" i="1"/>
  <c r="R883" i="1"/>
  <c r="R884" i="1"/>
  <c r="R885" i="1"/>
  <c r="R886" i="1"/>
  <c r="R887" i="1"/>
  <c r="R888" i="1"/>
  <c r="R889" i="1"/>
  <c r="R890" i="1"/>
  <c r="R891" i="1"/>
  <c r="R892" i="1"/>
  <c r="R893" i="1"/>
  <c r="R894" i="1"/>
  <c r="R895" i="1"/>
  <c r="R896" i="1"/>
  <c r="R897" i="1"/>
  <c r="R898" i="1"/>
  <c r="R899" i="1"/>
  <c r="R900" i="1"/>
  <c r="R901" i="1"/>
  <c r="R902" i="1"/>
  <c r="R903" i="1"/>
  <c r="R904" i="1"/>
  <c r="R905" i="1"/>
  <c r="R906" i="1"/>
  <c r="R907" i="1"/>
  <c r="R908" i="1"/>
  <c r="R909" i="1"/>
  <c r="R910" i="1"/>
  <c r="R911" i="1"/>
  <c r="R912" i="1"/>
  <c r="R913" i="1"/>
  <c r="R914" i="1"/>
  <c r="R915" i="1"/>
  <c r="R916" i="1"/>
  <c r="R917" i="1"/>
  <c r="R918" i="1"/>
  <c r="R919" i="1"/>
  <c r="R920" i="1"/>
  <c r="R921" i="1"/>
  <c r="R922" i="1"/>
  <c r="R923" i="1"/>
  <c r="R924" i="1"/>
  <c r="R925" i="1"/>
  <c r="R926" i="1"/>
  <c r="R927" i="1"/>
  <c r="R928" i="1"/>
  <c r="R929" i="1"/>
  <c r="R930" i="1"/>
  <c r="R931" i="1"/>
  <c r="R932" i="1"/>
  <c r="R933" i="1"/>
  <c r="R934" i="1"/>
  <c r="R935" i="1"/>
  <c r="R936" i="1"/>
  <c r="R937" i="1"/>
  <c r="R938" i="1"/>
  <c r="R939" i="1"/>
  <c r="R940" i="1"/>
  <c r="R941" i="1"/>
  <c r="R942" i="1"/>
  <c r="R943" i="1"/>
  <c r="R944" i="1"/>
  <c r="R945" i="1"/>
  <c r="S71" i="1"/>
  <c r="T71" i="1"/>
  <c r="V71" i="1"/>
  <c r="S72" i="1"/>
  <c r="T72" i="1"/>
  <c r="V72" i="1"/>
  <c r="S73" i="1"/>
  <c r="T73" i="1"/>
  <c r="V73" i="1"/>
  <c r="S74" i="1"/>
  <c r="T74" i="1"/>
  <c r="V74" i="1"/>
  <c r="S278" i="1"/>
  <c r="T278" i="1"/>
  <c r="V278" i="1"/>
  <c r="S279" i="1"/>
  <c r="T279" i="1"/>
  <c r="V279" i="1"/>
  <c r="S280" i="1"/>
  <c r="T280" i="1"/>
  <c r="V280" i="1"/>
  <c r="S281" i="1"/>
  <c r="T281" i="1"/>
  <c r="V281" i="1"/>
  <c r="S174" i="1"/>
  <c r="T174" i="1"/>
  <c r="V174" i="1"/>
  <c r="S175" i="1"/>
  <c r="T175" i="1"/>
  <c r="V175" i="1"/>
  <c r="S176" i="1"/>
  <c r="T176" i="1"/>
  <c r="V176" i="1"/>
  <c r="S177" i="1"/>
  <c r="T177" i="1"/>
  <c r="V177" i="1"/>
  <c r="S187" i="1"/>
  <c r="T187" i="1"/>
  <c r="V187" i="1"/>
  <c r="S188" i="1"/>
  <c r="T188" i="1"/>
  <c r="V188" i="1"/>
  <c r="S189" i="1"/>
  <c r="T189" i="1"/>
  <c r="V189" i="1"/>
  <c r="S190" i="1"/>
  <c r="T190" i="1"/>
  <c r="V190" i="1"/>
  <c r="S204" i="1"/>
  <c r="T204" i="1"/>
  <c r="V204" i="1"/>
  <c r="S205" i="1"/>
  <c r="T205" i="1"/>
  <c r="V205" i="1"/>
  <c r="S206" i="1"/>
  <c r="T206" i="1"/>
  <c r="V206" i="1"/>
  <c r="S207" i="1"/>
  <c r="T207" i="1"/>
  <c r="V207" i="1"/>
  <c r="S222" i="1"/>
  <c r="T222" i="1"/>
  <c r="V222" i="1"/>
  <c r="S223" i="1"/>
  <c r="T223" i="1"/>
  <c r="V223" i="1"/>
  <c r="S224" i="1"/>
  <c r="T224" i="1"/>
  <c r="V224" i="1"/>
  <c r="S225" i="1"/>
  <c r="T225" i="1"/>
  <c r="V225" i="1"/>
  <c r="S238" i="1"/>
  <c r="T238" i="1"/>
  <c r="V238" i="1"/>
  <c r="S239" i="1"/>
  <c r="T239" i="1"/>
  <c r="V239" i="1"/>
  <c r="S240" i="1"/>
  <c r="T240" i="1"/>
  <c r="V240" i="1"/>
  <c r="S241" i="1"/>
  <c r="T241" i="1"/>
  <c r="V241" i="1"/>
  <c r="S254" i="1"/>
  <c r="T254" i="1"/>
  <c r="V254" i="1"/>
  <c r="S255" i="1"/>
  <c r="T255" i="1"/>
  <c r="V255" i="1"/>
  <c r="S256" i="1"/>
  <c r="T256" i="1"/>
  <c r="V256" i="1"/>
  <c r="S257" i="1"/>
  <c r="T257" i="1"/>
  <c r="V257" i="1"/>
  <c r="S270" i="1"/>
  <c r="T270" i="1"/>
  <c r="V270" i="1"/>
  <c r="S271" i="1"/>
  <c r="T271" i="1"/>
  <c r="V271" i="1"/>
  <c r="S272" i="1"/>
  <c r="T272" i="1"/>
  <c r="V272" i="1"/>
  <c r="S273" i="1"/>
  <c r="T273" i="1"/>
  <c r="V273" i="1"/>
  <c r="N2" i="1"/>
  <c r="O2" i="1"/>
  <c r="P2" i="1"/>
  <c r="Q2" i="1"/>
  <c r="S10" i="1"/>
  <c r="S8" i="1"/>
  <c r="S7" i="1"/>
  <c r="S14" i="1"/>
  <c r="S16" i="1"/>
  <c r="S13" i="1"/>
  <c r="S6" i="1"/>
  <c r="S5" i="1"/>
  <c r="S12" i="1"/>
  <c r="S9" i="1"/>
  <c r="S4" i="1"/>
  <c r="S3" i="1"/>
  <c r="S15" i="1"/>
  <c r="S11" i="1"/>
  <c r="S2" i="1"/>
  <c r="S17" i="1"/>
  <c r="S19" i="1"/>
  <c r="S23" i="1"/>
  <c r="S20" i="1"/>
  <c r="S29" i="1"/>
  <c r="S22" i="1"/>
  <c r="S24" i="1"/>
  <c r="S27" i="1"/>
  <c r="S25" i="1"/>
  <c r="S30" i="1"/>
  <c r="S31" i="1"/>
  <c r="S28" i="1"/>
  <c r="S32" i="1"/>
  <c r="S41" i="1"/>
  <c r="S42" i="1"/>
  <c r="S38" i="1"/>
  <c r="S39" i="1"/>
  <c r="S44" i="1"/>
  <c r="S45" i="1"/>
  <c r="S160" i="1"/>
  <c r="S161" i="1"/>
  <c r="S158" i="1"/>
  <c r="S159" i="1"/>
  <c r="S40" i="1"/>
  <c r="S43" i="1"/>
  <c r="S170" i="1"/>
  <c r="S171" i="1"/>
  <c r="S172" i="1"/>
  <c r="S173" i="1"/>
  <c r="S166" i="1"/>
  <c r="S167" i="1"/>
  <c r="S168" i="1"/>
  <c r="S169" i="1"/>
  <c r="S165" i="1"/>
  <c r="S178" i="1"/>
  <c r="S179" i="1"/>
  <c r="S181" i="1"/>
  <c r="S180" i="1"/>
  <c r="S185" i="1"/>
  <c r="S183" i="1"/>
  <c r="S182" i="1"/>
  <c r="S184" i="1"/>
  <c r="S186" i="1"/>
  <c r="S201" i="1"/>
  <c r="S196" i="1"/>
  <c r="S194" i="1"/>
  <c r="S202" i="1"/>
  <c r="S195" i="1"/>
  <c r="S197" i="1"/>
  <c r="S198" i="1"/>
  <c r="S199" i="1"/>
  <c r="S203" i="1"/>
  <c r="S210" i="1"/>
  <c r="S211" i="1"/>
  <c r="S212" i="1"/>
  <c r="S215" i="1"/>
  <c r="S213" i="1"/>
  <c r="S214" i="1"/>
  <c r="S216" i="1"/>
  <c r="S220" i="1"/>
  <c r="S217" i="1"/>
  <c r="S219" i="1"/>
  <c r="S230" i="1"/>
  <c r="S232" i="1"/>
  <c r="S235" i="1"/>
  <c r="S234" i="1"/>
  <c r="S236" i="1"/>
  <c r="S228" i="1"/>
  <c r="S237" i="1"/>
  <c r="S229" i="1"/>
  <c r="S248" i="1"/>
  <c r="S247" i="1"/>
  <c r="S242" i="1"/>
  <c r="S251" i="1"/>
  <c r="S246" i="1"/>
  <c r="S249" i="1"/>
  <c r="S252" i="1"/>
  <c r="S250" i="1"/>
  <c r="S243" i="1"/>
  <c r="S262" i="1"/>
  <c r="S258" i="1"/>
  <c r="S263" i="1"/>
  <c r="S264" i="1"/>
  <c r="S261" i="1"/>
  <c r="S266" i="1"/>
  <c r="S267" i="1"/>
  <c r="S268" i="1"/>
  <c r="S269" i="1"/>
  <c r="S284" i="1"/>
  <c r="S285" i="1"/>
  <c r="S287" i="1"/>
  <c r="S283" i="1"/>
  <c r="S286" i="1"/>
  <c r="S282" i="1"/>
  <c r="S288" i="1"/>
  <c r="S289" i="1"/>
  <c r="S294" i="1"/>
  <c r="S296" i="1"/>
  <c r="S297" i="1"/>
  <c r="S293" i="1"/>
  <c r="S299" i="1"/>
  <c r="S298" i="1"/>
  <c r="S303" i="1"/>
  <c r="S305" i="1"/>
  <c r="S302" i="1"/>
  <c r="S300" i="1"/>
  <c r="S301" i="1"/>
  <c r="S304" i="1"/>
  <c r="S59" i="1"/>
  <c r="S61" i="1"/>
  <c r="S58" i="1"/>
  <c r="S60" i="1"/>
  <c r="S56" i="1"/>
  <c r="S55" i="1"/>
  <c r="S53" i="1"/>
  <c r="S54" i="1"/>
  <c r="S51" i="1"/>
  <c r="S52" i="1"/>
  <c r="S50" i="1"/>
  <c r="S49" i="1"/>
  <c r="S70" i="1"/>
  <c r="S69" i="1"/>
  <c r="S65" i="1"/>
  <c r="S66" i="1"/>
  <c r="S68" i="1"/>
  <c r="S67" i="1"/>
  <c r="S62" i="1"/>
  <c r="S63" i="1"/>
  <c r="S64" i="1"/>
  <c r="S317" i="1"/>
  <c r="S316" i="1"/>
  <c r="S315" i="1"/>
  <c r="S307" i="1"/>
  <c r="S313" i="1"/>
  <c r="S312" i="1"/>
  <c r="S314" i="1"/>
  <c r="S311" i="1"/>
  <c r="S310" i="1"/>
  <c r="S308" i="1"/>
  <c r="S306" i="1"/>
  <c r="S309" i="1"/>
  <c r="S336" i="1"/>
  <c r="S327" i="1"/>
  <c r="S328" i="1"/>
  <c r="S334" i="1"/>
  <c r="S337" i="1"/>
  <c r="S332" i="1"/>
  <c r="S335" i="1"/>
  <c r="S330" i="1"/>
  <c r="S329" i="1"/>
  <c r="S324" i="1"/>
  <c r="S325" i="1"/>
  <c r="S333" i="1"/>
  <c r="S349" i="1"/>
  <c r="S347" i="1"/>
  <c r="S353" i="1"/>
  <c r="S348" i="1"/>
  <c r="S352" i="1"/>
  <c r="S344" i="1"/>
  <c r="S342" i="1"/>
  <c r="S345" i="1"/>
  <c r="S350" i="1"/>
  <c r="S351" i="1"/>
  <c r="S343" i="1"/>
  <c r="S339" i="1"/>
  <c r="S365" i="1"/>
  <c r="S360" i="1"/>
  <c r="S368" i="1"/>
  <c r="S359" i="1"/>
  <c r="S356" i="1"/>
  <c r="S362" i="1"/>
  <c r="S361" i="1"/>
  <c r="S367" i="1"/>
  <c r="S369" i="1"/>
  <c r="S363" i="1"/>
  <c r="S355" i="1"/>
  <c r="S358" i="1"/>
  <c r="S364" i="1"/>
  <c r="S366" i="1"/>
  <c r="S379" i="1"/>
  <c r="S382" i="1"/>
  <c r="S384" i="1"/>
  <c r="S383" i="1"/>
  <c r="S378" i="1"/>
  <c r="S380" i="1"/>
  <c r="S377" i="1"/>
  <c r="S385" i="1"/>
  <c r="S375" i="1"/>
  <c r="S373" i="1"/>
  <c r="S381" i="1"/>
  <c r="S371" i="1"/>
  <c r="S401" i="1"/>
  <c r="S399" i="1"/>
  <c r="S400" i="1"/>
  <c r="S395" i="1"/>
  <c r="S398" i="1"/>
  <c r="S390" i="1"/>
  <c r="S394" i="1"/>
  <c r="S396" i="1"/>
  <c r="S393" i="1"/>
  <c r="S392" i="1"/>
  <c r="S391" i="1"/>
  <c r="S388" i="1"/>
  <c r="S412" i="1"/>
  <c r="S411" i="1"/>
  <c r="S410" i="1"/>
  <c r="S416" i="1"/>
  <c r="S415" i="1"/>
  <c r="S407" i="1"/>
  <c r="S403" i="1"/>
  <c r="S409" i="1"/>
  <c r="S413" i="1"/>
  <c r="S404" i="1"/>
  <c r="S405" i="1"/>
  <c r="S402" i="1"/>
  <c r="S433" i="1"/>
  <c r="S428" i="1"/>
  <c r="S429" i="1"/>
  <c r="S426" i="1"/>
  <c r="S432" i="1"/>
  <c r="S427" i="1"/>
  <c r="S431" i="1"/>
  <c r="S430" i="1"/>
  <c r="S425" i="1"/>
  <c r="S424" i="1"/>
  <c r="S422" i="1"/>
  <c r="S419" i="1"/>
  <c r="S448" i="1"/>
  <c r="S449" i="1"/>
  <c r="S447" i="1"/>
  <c r="S446" i="1"/>
  <c r="S444" i="1"/>
  <c r="S443" i="1"/>
  <c r="S442" i="1"/>
  <c r="S445" i="1"/>
  <c r="S441" i="1"/>
  <c r="S440" i="1"/>
  <c r="S439" i="1"/>
  <c r="S437" i="1"/>
  <c r="S80" i="1"/>
  <c r="S79" i="1"/>
  <c r="S78" i="1"/>
  <c r="S83" i="1"/>
  <c r="S81" i="1"/>
  <c r="S82" i="1"/>
  <c r="S85" i="1"/>
  <c r="S84" i="1"/>
  <c r="S89" i="1"/>
  <c r="S86" i="1"/>
  <c r="S88" i="1"/>
  <c r="S87" i="1"/>
  <c r="S90" i="1"/>
  <c r="S91" i="1"/>
  <c r="S92" i="1"/>
  <c r="S93" i="1"/>
  <c r="S98" i="1"/>
  <c r="S96" i="1"/>
  <c r="S100" i="1"/>
  <c r="S99" i="1"/>
  <c r="S101" i="1"/>
  <c r="S104" i="1"/>
  <c r="S106" i="1"/>
  <c r="S108" i="1"/>
  <c r="S105" i="1"/>
  <c r="S107" i="1"/>
  <c r="S103" i="1"/>
  <c r="S109" i="1"/>
  <c r="S454" i="1"/>
  <c r="S114" i="1"/>
  <c r="S115" i="1"/>
  <c r="S116" i="1"/>
  <c r="S452" i="1"/>
  <c r="S450" i="1"/>
  <c r="S117" i="1"/>
  <c r="S451" i="1"/>
  <c r="S453" i="1"/>
  <c r="S456" i="1"/>
  <c r="S457" i="1"/>
  <c r="S455" i="1"/>
  <c r="S466" i="1"/>
  <c r="S464" i="1"/>
  <c r="S463" i="1"/>
  <c r="S465" i="1"/>
  <c r="S471" i="1"/>
  <c r="S462" i="1"/>
  <c r="S469" i="1"/>
  <c r="S468" i="1"/>
  <c r="S470" i="1"/>
  <c r="S467" i="1"/>
  <c r="S472" i="1"/>
  <c r="S473" i="1"/>
  <c r="S475" i="1"/>
  <c r="S481" i="1"/>
  <c r="S476" i="1"/>
  <c r="S482" i="1"/>
  <c r="S477" i="1"/>
  <c r="S483" i="1"/>
  <c r="S487" i="1"/>
  <c r="S484" i="1"/>
  <c r="S485" i="1"/>
  <c r="S479" i="1"/>
  <c r="S488" i="1"/>
  <c r="S489" i="1"/>
  <c r="S490" i="1"/>
  <c r="S492" i="1"/>
  <c r="S491" i="1"/>
  <c r="S494" i="1"/>
  <c r="S493" i="1"/>
  <c r="S496" i="1"/>
  <c r="S497" i="1"/>
  <c r="S501" i="1"/>
  <c r="S498" i="1"/>
  <c r="S500" i="1"/>
  <c r="S503" i="1"/>
  <c r="S504" i="1"/>
  <c r="S508" i="1"/>
  <c r="S511" i="1"/>
  <c r="S510" i="1"/>
  <c r="S509" i="1"/>
  <c r="S514" i="1"/>
  <c r="S517" i="1"/>
  <c r="S516" i="1"/>
  <c r="S518" i="1"/>
  <c r="S513" i="1"/>
  <c r="S512" i="1"/>
  <c r="S515" i="1"/>
  <c r="S519" i="1"/>
  <c r="S520" i="1"/>
  <c r="S521" i="1"/>
  <c r="S526" i="1"/>
  <c r="S528" i="1"/>
  <c r="S527" i="1"/>
  <c r="S529" i="1"/>
  <c r="S530" i="1"/>
  <c r="S535" i="1"/>
  <c r="S537" i="1"/>
  <c r="S536" i="1"/>
  <c r="S531" i="1"/>
  <c r="S532" i="1"/>
  <c r="S533" i="1"/>
  <c r="S534" i="1"/>
  <c r="S538" i="1"/>
  <c r="S539" i="1"/>
  <c r="S540" i="1"/>
  <c r="S542" i="1"/>
  <c r="S541" i="1"/>
  <c r="S543" i="1"/>
  <c r="S549" i="1"/>
  <c r="S550" i="1"/>
  <c r="S553" i="1"/>
  <c r="S544" i="1"/>
  <c r="S546" i="1"/>
  <c r="S551" i="1"/>
  <c r="S552" i="1"/>
  <c r="S563" i="1"/>
  <c r="S560" i="1"/>
  <c r="S558" i="1"/>
  <c r="S561" i="1"/>
  <c r="S562" i="1"/>
  <c r="S566" i="1"/>
  <c r="S559" i="1"/>
  <c r="S565" i="1"/>
  <c r="S564" i="1"/>
  <c r="S567" i="1"/>
  <c r="S569" i="1"/>
  <c r="S568" i="1"/>
  <c r="S574" i="1"/>
  <c r="S575" i="1"/>
  <c r="S577" i="1"/>
  <c r="S581" i="1"/>
  <c r="S576" i="1"/>
  <c r="S580" i="1"/>
  <c r="S578" i="1"/>
  <c r="S579" i="1"/>
  <c r="S583" i="1"/>
  <c r="S585" i="1"/>
  <c r="S582" i="1"/>
  <c r="S584" i="1"/>
  <c r="S591" i="1"/>
  <c r="S590" i="1"/>
  <c r="S593" i="1"/>
  <c r="S597" i="1"/>
  <c r="S599" i="1"/>
  <c r="S594" i="1"/>
  <c r="S592" i="1"/>
  <c r="S588" i="1"/>
  <c r="S595" i="1"/>
  <c r="S601" i="1"/>
  <c r="S596" i="1"/>
  <c r="S600" i="1"/>
  <c r="S598" i="1"/>
  <c r="S133" i="1"/>
  <c r="S132" i="1"/>
  <c r="S127" i="1"/>
  <c r="S129" i="1"/>
  <c r="S130" i="1"/>
  <c r="S131" i="1"/>
  <c r="S128" i="1"/>
  <c r="S124" i="1"/>
  <c r="S125" i="1"/>
  <c r="S126" i="1"/>
  <c r="S123" i="1"/>
  <c r="S122" i="1"/>
  <c r="S121" i="1"/>
  <c r="S120" i="1"/>
  <c r="S118" i="1"/>
  <c r="S119" i="1"/>
  <c r="S148" i="1"/>
  <c r="S149" i="1"/>
  <c r="S145" i="1"/>
  <c r="S144" i="1"/>
  <c r="S146" i="1"/>
  <c r="S143" i="1"/>
  <c r="S139" i="1"/>
  <c r="S142" i="1"/>
  <c r="S147" i="1"/>
  <c r="S140" i="1"/>
  <c r="S141" i="1"/>
  <c r="S136" i="1"/>
  <c r="S609" i="1"/>
  <c r="S608" i="1"/>
  <c r="S604" i="1"/>
  <c r="S603" i="1"/>
  <c r="S606" i="1"/>
  <c r="S602" i="1"/>
  <c r="S157" i="1"/>
  <c r="S156" i="1"/>
  <c r="S607" i="1"/>
  <c r="S605" i="1"/>
  <c r="S155" i="1"/>
  <c r="S154" i="1"/>
  <c r="S153" i="1"/>
  <c r="S152" i="1"/>
  <c r="S617" i="1"/>
  <c r="S625" i="1"/>
  <c r="S620" i="1"/>
  <c r="S619" i="1"/>
  <c r="S622" i="1"/>
  <c r="S624" i="1"/>
  <c r="S623" i="1"/>
  <c r="S613" i="1"/>
  <c r="S621" i="1"/>
  <c r="S611" i="1"/>
  <c r="S618" i="1"/>
  <c r="S616" i="1"/>
  <c r="S610" i="1"/>
  <c r="S615" i="1"/>
  <c r="S636" i="1"/>
  <c r="S640" i="1"/>
  <c r="S641" i="1"/>
  <c r="S638" i="1"/>
  <c r="S634" i="1"/>
  <c r="S639" i="1"/>
  <c r="S633" i="1"/>
  <c r="S635" i="1"/>
  <c r="S632" i="1"/>
  <c r="S637" i="1"/>
  <c r="S631" i="1"/>
  <c r="S630" i="1"/>
  <c r="S628" i="1"/>
  <c r="S656" i="1"/>
  <c r="S653" i="1"/>
  <c r="S657" i="1"/>
  <c r="S647" i="1"/>
  <c r="S652" i="1"/>
  <c r="S655" i="1"/>
  <c r="S654" i="1"/>
  <c r="S651" i="1"/>
  <c r="S650" i="1"/>
  <c r="S648" i="1"/>
  <c r="S649" i="1"/>
  <c r="S646" i="1"/>
  <c r="S673" i="1"/>
  <c r="S670" i="1"/>
  <c r="S669" i="1"/>
  <c r="S672" i="1"/>
  <c r="S666" i="1"/>
  <c r="S667" i="1"/>
  <c r="S668" i="1"/>
  <c r="S671" i="1"/>
  <c r="S663" i="1"/>
  <c r="S665" i="1"/>
  <c r="S664" i="1"/>
  <c r="S662" i="1"/>
  <c r="S687" i="1"/>
  <c r="S688" i="1"/>
  <c r="S681" i="1"/>
  <c r="S689" i="1"/>
  <c r="S685" i="1"/>
  <c r="S686" i="1"/>
  <c r="S682" i="1"/>
  <c r="S683" i="1"/>
  <c r="S684" i="1"/>
  <c r="S679" i="1"/>
  <c r="S680" i="1"/>
  <c r="S678" i="1"/>
  <c r="S701" i="1"/>
  <c r="S700" i="1"/>
  <c r="S697" i="1"/>
  <c r="S699" i="1"/>
  <c r="S698" i="1"/>
  <c r="S695" i="1"/>
  <c r="S696" i="1"/>
  <c r="S694" i="1"/>
  <c r="S693" i="1"/>
  <c r="S691" i="1"/>
  <c r="S692" i="1"/>
  <c r="S690" i="1"/>
  <c r="S717" i="1"/>
  <c r="S712" i="1"/>
  <c r="S711" i="1"/>
  <c r="S716" i="1"/>
  <c r="S710" i="1"/>
  <c r="S715" i="1"/>
  <c r="S714" i="1"/>
  <c r="S713" i="1"/>
  <c r="S706" i="1"/>
  <c r="S718" i="1"/>
  <c r="S707" i="1"/>
  <c r="S708" i="1"/>
  <c r="S736" i="1"/>
  <c r="S737" i="1"/>
  <c r="S735" i="1"/>
  <c r="S728" i="1"/>
  <c r="S733" i="1"/>
  <c r="S734" i="1"/>
  <c r="S731" i="1"/>
  <c r="S732" i="1"/>
  <c r="S730" i="1"/>
  <c r="S729" i="1"/>
  <c r="S727" i="1"/>
  <c r="S726" i="1"/>
  <c r="S753" i="1"/>
  <c r="S751" i="1"/>
  <c r="S752" i="1"/>
  <c r="S749" i="1"/>
  <c r="S747" i="1"/>
  <c r="S750" i="1"/>
  <c r="S746" i="1"/>
  <c r="S745" i="1"/>
  <c r="S743" i="1"/>
  <c r="S744" i="1"/>
  <c r="S740" i="1"/>
  <c r="S738" i="1"/>
  <c r="T10" i="1"/>
  <c r="T8" i="1"/>
  <c r="T7" i="1"/>
  <c r="T14" i="1"/>
  <c r="T16" i="1"/>
  <c r="T13" i="1"/>
  <c r="T6" i="1"/>
  <c r="T5" i="1"/>
  <c r="T12" i="1"/>
  <c r="T9" i="1"/>
  <c r="T4" i="1"/>
  <c r="T3" i="1"/>
  <c r="T15" i="1"/>
  <c r="T11" i="1"/>
  <c r="T2" i="1"/>
  <c r="T17" i="1"/>
  <c r="T19" i="1"/>
  <c r="T23" i="1"/>
  <c r="T20" i="1"/>
  <c r="T29" i="1"/>
  <c r="T22" i="1"/>
  <c r="T24" i="1"/>
  <c r="T27" i="1"/>
  <c r="T25" i="1"/>
  <c r="T30" i="1"/>
  <c r="T31" i="1"/>
  <c r="T28" i="1"/>
  <c r="T32" i="1"/>
  <c r="T41" i="1"/>
  <c r="T42" i="1"/>
  <c r="T38" i="1"/>
  <c r="T39" i="1"/>
  <c r="T44" i="1"/>
  <c r="T45" i="1"/>
  <c r="T160" i="1"/>
  <c r="T161" i="1"/>
  <c r="T158" i="1"/>
  <c r="T159" i="1"/>
  <c r="T40" i="1"/>
  <c r="T43" i="1"/>
  <c r="T170" i="1"/>
  <c r="T171" i="1"/>
  <c r="T172" i="1"/>
  <c r="T173" i="1"/>
  <c r="T166" i="1"/>
  <c r="T167" i="1"/>
  <c r="T168" i="1"/>
  <c r="T169" i="1"/>
  <c r="T165" i="1"/>
  <c r="T178" i="1"/>
  <c r="T179" i="1"/>
  <c r="T181" i="1"/>
  <c r="T180" i="1"/>
  <c r="T185" i="1"/>
  <c r="T183" i="1"/>
  <c r="T182" i="1"/>
  <c r="T184" i="1"/>
  <c r="T186" i="1"/>
  <c r="T201" i="1"/>
  <c r="T196" i="1"/>
  <c r="T194" i="1"/>
  <c r="T202" i="1"/>
  <c r="T195" i="1"/>
  <c r="T197" i="1"/>
  <c r="T198" i="1"/>
  <c r="T199" i="1"/>
  <c r="T203" i="1"/>
  <c r="T210" i="1"/>
  <c r="T211" i="1"/>
  <c r="T212" i="1"/>
  <c r="T215" i="1"/>
  <c r="T213" i="1"/>
  <c r="T214" i="1"/>
  <c r="T216" i="1"/>
  <c r="T220" i="1"/>
  <c r="T217" i="1"/>
  <c r="T219" i="1"/>
  <c r="T230" i="1"/>
  <c r="T232" i="1"/>
  <c r="T235" i="1"/>
  <c r="T234" i="1"/>
  <c r="T236" i="1"/>
  <c r="T228" i="1"/>
  <c r="T237" i="1"/>
  <c r="T229" i="1"/>
  <c r="T248" i="1"/>
  <c r="T247" i="1"/>
  <c r="T242" i="1"/>
  <c r="T251" i="1"/>
  <c r="T246" i="1"/>
  <c r="T249" i="1"/>
  <c r="T252" i="1"/>
  <c r="T250" i="1"/>
  <c r="T243" i="1"/>
  <c r="T262" i="1"/>
  <c r="T258" i="1"/>
  <c r="T263" i="1"/>
  <c r="T264" i="1"/>
  <c r="T261" i="1"/>
  <c r="T266" i="1"/>
  <c r="T267" i="1"/>
  <c r="T268" i="1"/>
  <c r="T269" i="1"/>
  <c r="T284" i="1"/>
  <c r="T285" i="1"/>
  <c r="T287" i="1"/>
  <c r="T283" i="1"/>
  <c r="T286" i="1"/>
  <c r="T282" i="1"/>
  <c r="T288" i="1"/>
  <c r="T289" i="1"/>
  <c r="T294" i="1"/>
  <c r="T296" i="1"/>
  <c r="T297" i="1"/>
  <c r="T293" i="1"/>
  <c r="T299" i="1"/>
  <c r="T298" i="1"/>
  <c r="T303" i="1"/>
  <c r="T305" i="1"/>
  <c r="T302" i="1"/>
  <c r="T300" i="1"/>
  <c r="T301" i="1"/>
  <c r="T304" i="1"/>
  <c r="T59" i="1"/>
  <c r="T61" i="1"/>
  <c r="T58" i="1"/>
  <c r="T60" i="1"/>
  <c r="T56" i="1"/>
  <c r="T55" i="1"/>
  <c r="T53" i="1"/>
  <c r="T54" i="1"/>
  <c r="T51" i="1"/>
  <c r="T52" i="1"/>
  <c r="T50" i="1"/>
  <c r="T49" i="1"/>
  <c r="T70" i="1"/>
  <c r="T69" i="1"/>
  <c r="T65" i="1"/>
  <c r="T66" i="1"/>
  <c r="T68" i="1"/>
  <c r="T67" i="1"/>
  <c r="T62" i="1"/>
  <c r="T63" i="1"/>
  <c r="T64" i="1"/>
  <c r="T317" i="1"/>
  <c r="T316" i="1"/>
  <c r="T315" i="1"/>
  <c r="T307" i="1"/>
  <c r="T313" i="1"/>
  <c r="T312" i="1"/>
  <c r="T314" i="1"/>
  <c r="T311" i="1"/>
  <c r="T310" i="1"/>
  <c r="T308" i="1"/>
  <c r="T306" i="1"/>
  <c r="T309" i="1"/>
  <c r="T336" i="1"/>
  <c r="T327" i="1"/>
  <c r="T328" i="1"/>
  <c r="T334" i="1"/>
  <c r="T337" i="1"/>
  <c r="T332" i="1"/>
  <c r="T335" i="1"/>
  <c r="T330" i="1"/>
  <c r="T329" i="1"/>
  <c r="T324" i="1"/>
  <c r="T325" i="1"/>
  <c r="T333" i="1"/>
  <c r="T349" i="1"/>
  <c r="T347" i="1"/>
  <c r="T353" i="1"/>
  <c r="T348" i="1"/>
  <c r="T352" i="1"/>
  <c r="T344" i="1"/>
  <c r="T342" i="1"/>
  <c r="T345" i="1"/>
  <c r="T350" i="1"/>
  <c r="T351" i="1"/>
  <c r="T343" i="1"/>
  <c r="T339" i="1"/>
  <c r="T365" i="1"/>
  <c r="T360" i="1"/>
  <c r="T368" i="1"/>
  <c r="T359" i="1"/>
  <c r="T356" i="1"/>
  <c r="T362" i="1"/>
  <c r="T361" i="1"/>
  <c r="T367" i="1"/>
  <c r="T369" i="1"/>
  <c r="T363" i="1"/>
  <c r="T355" i="1"/>
  <c r="T358" i="1"/>
  <c r="T364" i="1"/>
  <c r="T366" i="1"/>
  <c r="T379" i="1"/>
  <c r="T382" i="1"/>
  <c r="T384" i="1"/>
  <c r="T383" i="1"/>
  <c r="T378" i="1"/>
  <c r="T380" i="1"/>
  <c r="T377" i="1"/>
  <c r="T385" i="1"/>
  <c r="T375" i="1"/>
  <c r="T373" i="1"/>
  <c r="T381" i="1"/>
  <c r="T371" i="1"/>
  <c r="T401" i="1"/>
  <c r="T399" i="1"/>
  <c r="T400" i="1"/>
  <c r="T395" i="1"/>
  <c r="T398" i="1"/>
  <c r="T390" i="1"/>
  <c r="T394" i="1"/>
  <c r="T396" i="1"/>
  <c r="T393" i="1"/>
  <c r="T392" i="1"/>
  <c r="T391" i="1"/>
  <c r="T388" i="1"/>
  <c r="T412" i="1"/>
  <c r="T411" i="1"/>
  <c r="T410" i="1"/>
  <c r="T416" i="1"/>
  <c r="T415" i="1"/>
  <c r="T407" i="1"/>
  <c r="T403" i="1"/>
  <c r="T409" i="1"/>
  <c r="T413" i="1"/>
  <c r="T404" i="1"/>
  <c r="T405" i="1"/>
  <c r="T402" i="1"/>
  <c r="T433" i="1"/>
  <c r="T428" i="1"/>
  <c r="T429" i="1"/>
  <c r="T426" i="1"/>
  <c r="T432" i="1"/>
  <c r="T427" i="1"/>
  <c r="T431" i="1"/>
  <c r="T430" i="1"/>
  <c r="T425" i="1"/>
  <c r="T424" i="1"/>
  <c r="T422" i="1"/>
  <c r="T419" i="1"/>
  <c r="T448" i="1"/>
  <c r="T449" i="1"/>
  <c r="T447" i="1"/>
  <c r="T446" i="1"/>
  <c r="T444" i="1"/>
  <c r="T443" i="1"/>
  <c r="T442" i="1"/>
  <c r="T445" i="1"/>
  <c r="T441" i="1"/>
  <c r="T440" i="1"/>
  <c r="T439" i="1"/>
  <c r="T437" i="1"/>
  <c r="T80" i="1"/>
  <c r="T79" i="1"/>
  <c r="T78" i="1"/>
  <c r="T83" i="1"/>
  <c r="T81" i="1"/>
  <c r="T82" i="1"/>
  <c r="T85" i="1"/>
  <c r="T84" i="1"/>
  <c r="T89" i="1"/>
  <c r="T86" i="1"/>
  <c r="T88" i="1"/>
  <c r="T87" i="1"/>
  <c r="T90" i="1"/>
  <c r="T91" i="1"/>
  <c r="T92" i="1"/>
  <c r="T93" i="1"/>
  <c r="T98" i="1"/>
  <c r="T96" i="1"/>
  <c r="T100" i="1"/>
  <c r="T99" i="1"/>
  <c r="T101" i="1"/>
  <c r="T104" i="1"/>
  <c r="T106" i="1"/>
  <c r="T108" i="1"/>
  <c r="T105" i="1"/>
  <c r="T107" i="1"/>
  <c r="T103" i="1"/>
  <c r="T109" i="1"/>
  <c r="T454" i="1"/>
  <c r="T114" i="1"/>
  <c r="T115" i="1"/>
  <c r="T116" i="1"/>
  <c r="T452" i="1"/>
  <c r="T450" i="1"/>
  <c r="T117" i="1"/>
  <c r="T451" i="1"/>
  <c r="T453" i="1"/>
  <c r="T456" i="1"/>
  <c r="T457" i="1"/>
  <c r="T455" i="1"/>
  <c r="T466" i="1"/>
  <c r="T464" i="1"/>
  <c r="T463" i="1"/>
  <c r="T465" i="1"/>
  <c r="T471" i="1"/>
  <c r="T462" i="1"/>
  <c r="T469" i="1"/>
  <c r="T468" i="1"/>
  <c r="T470" i="1"/>
  <c r="T467" i="1"/>
  <c r="T472" i="1"/>
  <c r="T473" i="1"/>
  <c r="T475" i="1"/>
  <c r="T481" i="1"/>
  <c r="T476" i="1"/>
  <c r="T482" i="1"/>
  <c r="T477" i="1"/>
  <c r="T483" i="1"/>
  <c r="T487" i="1"/>
  <c r="T484" i="1"/>
  <c r="T485" i="1"/>
  <c r="T479" i="1"/>
  <c r="T488" i="1"/>
  <c r="T489" i="1"/>
  <c r="T490" i="1"/>
  <c r="T492" i="1"/>
  <c r="T491" i="1"/>
  <c r="T494" i="1"/>
  <c r="T493" i="1"/>
  <c r="T496" i="1"/>
  <c r="T497" i="1"/>
  <c r="T501" i="1"/>
  <c r="T498" i="1"/>
  <c r="T500" i="1"/>
  <c r="T503" i="1"/>
  <c r="T504" i="1"/>
  <c r="T508" i="1"/>
  <c r="T511" i="1"/>
  <c r="T510" i="1"/>
  <c r="T509" i="1"/>
  <c r="T514" i="1"/>
  <c r="T517" i="1"/>
  <c r="T516" i="1"/>
  <c r="T518" i="1"/>
  <c r="T513" i="1"/>
  <c r="T512" i="1"/>
  <c r="T515" i="1"/>
  <c r="T519" i="1"/>
  <c r="T520" i="1"/>
  <c r="T521" i="1"/>
  <c r="T526" i="1"/>
  <c r="T528" i="1"/>
  <c r="T527" i="1"/>
  <c r="T529" i="1"/>
  <c r="T530" i="1"/>
  <c r="T535" i="1"/>
  <c r="T537" i="1"/>
  <c r="T536" i="1"/>
  <c r="T531" i="1"/>
  <c r="T532" i="1"/>
  <c r="T533" i="1"/>
  <c r="T534" i="1"/>
  <c r="T538" i="1"/>
  <c r="T539" i="1"/>
  <c r="T540" i="1"/>
  <c r="T542" i="1"/>
  <c r="T541" i="1"/>
  <c r="T543" i="1"/>
  <c r="T549" i="1"/>
  <c r="T550" i="1"/>
  <c r="T553" i="1"/>
  <c r="T544" i="1"/>
  <c r="T546" i="1"/>
  <c r="T551" i="1"/>
  <c r="T552" i="1"/>
  <c r="T563" i="1"/>
  <c r="T560" i="1"/>
  <c r="T558" i="1"/>
  <c r="T561" i="1"/>
  <c r="T562" i="1"/>
  <c r="T566" i="1"/>
  <c r="T559" i="1"/>
  <c r="T565" i="1"/>
  <c r="T564" i="1"/>
  <c r="T567" i="1"/>
  <c r="T569" i="1"/>
  <c r="T568" i="1"/>
  <c r="T574" i="1"/>
  <c r="T575" i="1"/>
  <c r="T577" i="1"/>
  <c r="T581" i="1"/>
  <c r="T576" i="1"/>
  <c r="T580" i="1"/>
  <c r="T578" i="1"/>
  <c r="T579" i="1"/>
  <c r="T583" i="1"/>
  <c r="T585" i="1"/>
  <c r="T582" i="1"/>
  <c r="T584" i="1"/>
  <c r="T591" i="1"/>
  <c r="T590" i="1"/>
  <c r="T593" i="1"/>
  <c r="T597" i="1"/>
  <c r="T599" i="1"/>
  <c r="T594" i="1"/>
  <c r="T592" i="1"/>
  <c r="T588" i="1"/>
  <c r="T595" i="1"/>
  <c r="T601" i="1"/>
  <c r="T596" i="1"/>
  <c r="T600" i="1"/>
  <c r="T598" i="1"/>
  <c r="T133" i="1"/>
  <c r="T132" i="1"/>
  <c r="T127" i="1"/>
  <c r="T129" i="1"/>
  <c r="T130" i="1"/>
  <c r="T131" i="1"/>
  <c r="T128" i="1"/>
  <c r="T124" i="1"/>
  <c r="T125" i="1"/>
  <c r="T126" i="1"/>
  <c r="T123" i="1"/>
  <c r="T122" i="1"/>
  <c r="T121" i="1"/>
  <c r="T120" i="1"/>
  <c r="T118" i="1"/>
  <c r="T119" i="1"/>
  <c r="T148" i="1"/>
  <c r="T149" i="1"/>
  <c r="T145" i="1"/>
  <c r="T144" i="1"/>
  <c r="T146" i="1"/>
  <c r="T143" i="1"/>
  <c r="T139" i="1"/>
  <c r="T142" i="1"/>
  <c r="T147" i="1"/>
  <c r="T140" i="1"/>
  <c r="T141" i="1"/>
  <c r="T136" i="1"/>
  <c r="T609" i="1"/>
  <c r="T608" i="1"/>
  <c r="T604" i="1"/>
  <c r="T603" i="1"/>
  <c r="T606" i="1"/>
  <c r="T602" i="1"/>
  <c r="T157" i="1"/>
  <c r="T156" i="1"/>
  <c r="T607" i="1"/>
  <c r="T605" i="1"/>
  <c r="T155" i="1"/>
  <c r="T154" i="1"/>
  <c r="T153" i="1"/>
  <c r="T152" i="1"/>
  <c r="T617" i="1"/>
  <c r="T625" i="1"/>
  <c r="T620" i="1"/>
  <c r="T619" i="1"/>
  <c r="T622" i="1"/>
  <c r="T624" i="1"/>
  <c r="T623" i="1"/>
  <c r="T613" i="1"/>
  <c r="T621" i="1"/>
  <c r="T611" i="1"/>
  <c r="T618" i="1"/>
  <c r="T616" i="1"/>
  <c r="T610" i="1"/>
  <c r="T615" i="1"/>
  <c r="T636" i="1"/>
  <c r="T640" i="1"/>
  <c r="T641" i="1"/>
  <c r="T638" i="1"/>
  <c r="T634" i="1"/>
  <c r="T639" i="1"/>
  <c r="T633" i="1"/>
  <c r="T635" i="1"/>
  <c r="T632" i="1"/>
  <c r="T637" i="1"/>
  <c r="T631" i="1"/>
  <c r="T630" i="1"/>
  <c r="T628" i="1"/>
  <c r="T656" i="1"/>
  <c r="T653" i="1"/>
  <c r="T657" i="1"/>
  <c r="T647" i="1"/>
  <c r="T652" i="1"/>
  <c r="T655" i="1"/>
  <c r="T654" i="1"/>
  <c r="T651" i="1"/>
  <c r="T650" i="1"/>
  <c r="T648" i="1"/>
  <c r="T649" i="1"/>
  <c r="T646" i="1"/>
  <c r="T673" i="1"/>
  <c r="T670" i="1"/>
  <c r="T669" i="1"/>
  <c r="T672" i="1"/>
  <c r="T666" i="1"/>
  <c r="T667" i="1"/>
  <c r="T668" i="1"/>
  <c r="T671" i="1"/>
  <c r="T663" i="1"/>
  <c r="T665" i="1"/>
  <c r="T664" i="1"/>
  <c r="T662" i="1"/>
  <c r="T687" i="1"/>
  <c r="T688" i="1"/>
  <c r="T681" i="1"/>
  <c r="T689" i="1"/>
  <c r="T685" i="1"/>
  <c r="T686" i="1"/>
  <c r="T682" i="1"/>
  <c r="T683" i="1"/>
  <c r="T684" i="1"/>
  <c r="T679" i="1"/>
  <c r="T680" i="1"/>
  <c r="T678" i="1"/>
  <c r="T701" i="1"/>
  <c r="T700" i="1"/>
  <c r="T697" i="1"/>
  <c r="T699" i="1"/>
  <c r="T698" i="1"/>
  <c r="T695" i="1"/>
  <c r="T696" i="1"/>
  <c r="T694" i="1"/>
  <c r="T693" i="1"/>
  <c r="T691" i="1"/>
  <c r="T692" i="1"/>
  <c r="T690" i="1"/>
  <c r="T717" i="1"/>
  <c r="T712" i="1"/>
  <c r="T711" i="1"/>
  <c r="T716" i="1"/>
  <c r="T710" i="1"/>
  <c r="T715" i="1"/>
  <c r="T714" i="1"/>
  <c r="T713" i="1"/>
  <c r="T706" i="1"/>
  <c r="T718" i="1"/>
  <c r="T707" i="1"/>
  <c r="T708" i="1"/>
  <c r="T736" i="1"/>
  <c r="T737" i="1"/>
  <c r="T735" i="1"/>
  <c r="T728" i="1"/>
  <c r="T733" i="1"/>
  <c r="T734" i="1"/>
  <c r="T731" i="1"/>
  <c r="T732" i="1"/>
  <c r="T730" i="1"/>
  <c r="T729" i="1"/>
  <c r="T727" i="1"/>
  <c r="T726" i="1"/>
  <c r="T753" i="1"/>
  <c r="T751" i="1"/>
  <c r="T752" i="1"/>
  <c r="T749" i="1"/>
  <c r="T747" i="1"/>
  <c r="T750" i="1"/>
  <c r="T746" i="1"/>
  <c r="T745" i="1"/>
  <c r="T743" i="1"/>
  <c r="T744" i="1"/>
  <c r="T740" i="1"/>
  <c r="T738" i="1"/>
  <c r="U2" i="1"/>
  <c r="V10" i="1"/>
  <c r="V8" i="1"/>
  <c r="V7" i="1"/>
  <c r="V14" i="1"/>
  <c r="V16" i="1"/>
  <c r="V13" i="1"/>
  <c r="V6" i="1"/>
  <c r="V5" i="1"/>
  <c r="V12" i="1"/>
  <c r="V9" i="1"/>
  <c r="V4" i="1"/>
  <c r="V3" i="1"/>
  <c r="V15" i="1"/>
  <c r="V11" i="1"/>
  <c r="V2" i="1"/>
  <c r="V17" i="1"/>
  <c r="V19" i="1"/>
  <c r="V23" i="1"/>
  <c r="V20" i="1"/>
  <c r="V29" i="1"/>
  <c r="V22" i="1"/>
  <c r="V24" i="1"/>
  <c r="V27" i="1"/>
  <c r="V25" i="1"/>
  <c r="V30" i="1"/>
  <c r="V31" i="1"/>
  <c r="V28" i="1"/>
  <c r="V32" i="1"/>
  <c r="V41" i="1"/>
  <c r="V42" i="1"/>
  <c r="V38" i="1"/>
  <c r="V39" i="1"/>
  <c r="V44" i="1"/>
  <c r="V45" i="1"/>
  <c r="V160" i="1"/>
  <c r="V161" i="1"/>
  <c r="V158" i="1"/>
  <c r="V159" i="1"/>
  <c r="V40" i="1"/>
  <c r="V43" i="1"/>
  <c r="V170" i="1"/>
  <c r="V171" i="1"/>
  <c r="V172" i="1"/>
  <c r="V173" i="1"/>
  <c r="V166" i="1"/>
  <c r="V167" i="1"/>
  <c r="V168" i="1"/>
  <c r="V169" i="1"/>
  <c r="V165" i="1"/>
  <c r="V178" i="1"/>
  <c r="V179" i="1"/>
  <c r="V181" i="1"/>
  <c r="V180" i="1"/>
  <c r="V185" i="1"/>
  <c r="V183" i="1"/>
  <c r="V182" i="1"/>
  <c r="V184" i="1"/>
  <c r="V186" i="1"/>
  <c r="V201" i="1"/>
  <c r="V196" i="1"/>
  <c r="V194" i="1"/>
  <c r="V202" i="1"/>
  <c r="V195" i="1"/>
  <c r="V197" i="1"/>
  <c r="V198" i="1"/>
  <c r="V199" i="1"/>
  <c r="V203" i="1"/>
  <c r="V210" i="1"/>
  <c r="V211" i="1"/>
  <c r="V212" i="1"/>
  <c r="V215" i="1"/>
  <c r="V213" i="1"/>
  <c r="V214" i="1"/>
  <c r="V216" i="1"/>
  <c r="V220" i="1"/>
  <c r="V217" i="1"/>
  <c r="V219" i="1"/>
  <c r="V230" i="1"/>
  <c r="V232" i="1"/>
  <c r="V235" i="1"/>
  <c r="V234" i="1"/>
  <c r="V236" i="1"/>
  <c r="V228" i="1"/>
  <c r="V237" i="1"/>
  <c r="V229" i="1"/>
  <c r="V248" i="1"/>
  <c r="V247" i="1"/>
  <c r="V242" i="1"/>
  <c r="V251" i="1"/>
  <c r="V246" i="1"/>
  <c r="V249" i="1"/>
  <c r="V252" i="1"/>
  <c r="V250" i="1"/>
  <c r="V243" i="1"/>
  <c r="V262" i="1"/>
  <c r="V258" i="1"/>
  <c r="V263" i="1"/>
  <c r="V264" i="1"/>
  <c r="V261" i="1"/>
  <c r="V266" i="1"/>
  <c r="V267" i="1"/>
  <c r="V268" i="1"/>
  <c r="V269" i="1"/>
  <c r="V284" i="1"/>
  <c r="V285" i="1"/>
  <c r="V287" i="1"/>
  <c r="V283" i="1"/>
  <c r="V286" i="1"/>
  <c r="V282" i="1"/>
  <c r="V288" i="1"/>
  <c r="V289" i="1"/>
  <c r="V294" i="1"/>
  <c r="V296" i="1"/>
  <c r="V297" i="1"/>
  <c r="V293" i="1"/>
  <c r="V299" i="1"/>
  <c r="V298" i="1"/>
  <c r="V303" i="1"/>
  <c r="V305" i="1"/>
  <c r="V302" i="1"/>
  <c r="V300" i="1"/>
  <c r="V301" i="1"/>
  <c r="V304" i="1"/>
  <c r="V59" i="1"/>
  <c r="V61" i="1"/>
  <c r="V58" i="1"/>
  <c r="V60" i="1"/>
  <c r="V56" i="1"/>
  <c r="V55" i="1"/>
  <c r="V53" i="1"/>
  <c r="V54" i="1"/>
  <c r="V51" i="1"/>
  <c r="V52" i="1"/>
  <c r="V50" i="1"/>
  <c r="V49" i="1"/>
  <c r="V70" i="1"/>
  <c r="V69" i="1"/>
  <c r="V65" i="1"/>
  <c r="V66" i="1"/>
  <c r="V68" i="1"/>
  <c r="V67" i="1"/>
  <c r="V62" i="1"/>
  <c r="V63" i="1"/>
  <c r="V64" i="1"/>
  <c r="V317" i="1"/>
  <c r="V316" i="1"/>
  <c r="V315" i="1"/>
  <c r="V307" i="1"/>
  <c r="V313" i="1"/>
  <c r="V312" i="1"/>
  <c r="V314" i="1"/>
  <c r="V311" i="1"/>
  <c r="V310" i="1"/>
  <c r="V308" i="1"/>
  <c r="V306" i="1"/>
  <c r="V309" i="1"/>
  <c r="V336" i="1"/>
  <c r="V327" i="1"/>
  <c r="V328" i="1"/>
  <c r="V334" i="1"/>
  <c r="V337" i="1"/>
  <c r="V332" i="1"/>
  <c r="V335" i="1"/>
  <c r="V330" i="1"/>
  <c r="V329" i="1"/>
  <c r="V324" i="1"/>
  <c r="V325" i="1"/>
  <c r="V333" i="1"/>
  <c r="V349" i="1"/>
  <c r="V347" i="1"/>
  <c r="V353" i="1"/>
  <c r="V348" i="1"/>
  <c r="V352" i="1"/>
  <c r="V344" i="1"/>
  <c r="V342" i="1"/>
  <c r="V345" i="1"/>
  <c r="V350" i="1"/>
  <c r="V351" i="1"/>
  <c r="V343" i="1"/>
  <c r="V339" i="1"/>
  <c r="V365" i="1"/>
  <c r="V360" i="1"/>
  <c r="V368" i="1"/>
  <c r="V359" i="1"/>
  <c r="V356" i="1"/>
  <c r="V362" i="1"/>
  <c r="V361" i="1"/>
  <c r="V367" i="1"/>
  <c r="V369" i="1"/>
  <c r="V363" i="1"/>
  <c r="V355" i="1"/>
  <c r="V358" i="1"/>
  <c r="V364" i="1"/>
  <c r="V366" i="1"/>
  <c r="V379" i="1"/>
  <c r="V382" i="1"/>
  <c r="V384" i="1"/>
  <c r="V383" i="1"/>
  <c r="V378" i="1"/>
  <c r="V380" i="1"/>
  <c r="V377" i="1"/>
  <c r="V385" i="1"/>
  <c r="V375" i="1"/>
  <c r="V373" i="1"/>
  <c r="V381" i="1"/>
  <c r="V371" i="1"/>
  <c r="V401" i="1"/>
  <c r="V399" i="1"/>
  <c r="V400" i="1"/>
  <c r="V395" i="1"/>
  <c r="V398" i="1"/>
  <c r="V390" i="1"/>
  <c r="V394" i="1"/>
  <c r="V396" i="1"/>
  <c r="V393" i="1"/>
  <c r="V392" i="1"/>
  <c r="V391" i="1"/>
  <c r="V388" i="1"/>
  <c r="V412" i="1"/>
  <c r="V411" i="1"/>
  <c r="V410" i="1"/>
  <c r="V416" i="1"/>
  <c r="V415" i="1"/>
  <c r="V407" i="1"/>
  <c r="V403" i="1"/>
  <c r="V409" i="1"/>
  <c r="V413" i="1"/>
  <c r="V404" i="1"/>
  <c r="V405" i="1"/>
  <c r="V402" i="1"/>
  <c r="V433" i="1"/>
  <c r="V428" i="1"/>
  <c r="V429" i="1"/>
  <c r="V426" i="1"/>
  <c r="V432" i="1"/>
  <c r="V427" i="1"/>
  <c r="V431" i="1"/>
  <c r="V430" i="1"/>
  <c r="V425" i="1"/>
  <c r="V424" i="1"/>
  <c r="V422" i="1"/>
  <c r="V419" i="1"/>
  <c r="V448" i="1"/>
  <c r="V449" i="1"/>
  <c r="V447" i="1"/>
  <c r="V446" i="1"/>
  <c r="V444" i="1"/>
  <c r="V443" i="1"/>
  <c r="V442" i="1"/>
  <c r="V445" i="1"/>
  <c r="V441" i="1"/>
  <c r="V440" i="1"/>
  <c r="V439" i="1"/>
  <c r="V437" i="1"/>
  <c r="V80" i="1"/>
  <c r="V79" i="1"/>
  <c r="V78" i="1"/>
  <c r="V83" i="1"/>
  <c r="V81" i="1"/>
  <c r="V82" i="1"/>
  <c r="V85" i="1"/>
  <c r="V84" i="1"/>
  <c r="V89" i="1"/>
  <c r="V86" i="1"/>
  <c r="V88" i="1"/>
  <c r="V87" i="1"/>
  <c r="V90" i="1"/>
  <c r="V91" i="1"/>
  <c r="V92" i="1"/>
  <c r="V93" i="1"/>
  <c r="V98" i="1"/>
  <c r="V96" i="1"/>
  <c r="V100" i="1"/>
  <c r="V99" i="1"/>
  <c r="V101" i="1"/>
  <c r="V104" i="1"/>
  <c r="V106" i="1"/>
  <c r="V108" i="1"/>
  <c r="V105" i="1"/>
  <c r="V107" i="1"/>
  <c r="V103" i="1"/>
  <c r="V109" i="1"/>
  <c r="V454" i="1"/>
  <c r="V114" i="1"/>
  <c r="V115" i="1"/>
  <c r="V116" i="1"/>
  <c r="V452" i="1"/>
  <c r="V450" i="1"/>
  <c r="V117" i="1"/>
  <c r="V451" i="1"/>
  <c r="V453" i="1"/>
  <c r="V456" i="1"/>
  <c r="V457" i="1"/>
  <c r="V455" i="1"/>
  <c r="V466" i="1"/>
  <c r="V464" i="1"/>
  <c r="V463" i="1"/>
  <c r="V465" i="1"/>
  <c r="V471" i="1"/>
  <c r="V462" i="1"/>
  <c r="V469" i="1"/>
  <c r="V468" i="1"/>
  <c r="V470" i="1"/>
  <c r="V467" i="1"/>
  <c r="V472" i="1"/>
  <c r="V473" i="1"/>
  <c r="V475" i="1"/>
  <c r="V481" i="1"/>
  <c r="V476" i="1"/>
  <c r="V482" i="1"/>
  <c r="V477" i="1"/>
  <c r="V483" i="1"/>
  <c r="V487" i="1"/>
  <c r="V484" i="1"/>
  <c r="V485" i="1"/>
  <c r="V479" i="1"/>
  <c r="V488" i="1"/>
  <c r="V489" i="1"/>
  <c r="V490" i="1"/>
  <c r="V492" i="1"/>
  <c r="V491" i="1"/>
  <c r="V494" i="1"/>
  <c r="V493" i="1"/>
  <c r="V496" i="1"/>
  <c r="V497" i="1"/>
  <c r="V501" i="1"/>
  <c r="V498" i="1"/>
  <c r="V500" i="1"/>
  <c r="V503" i="1"/>
  <c r="V504" i="1"/>
  <c r="V508" i="1"/>
  <c r="V511" i="1"/>
  <c r="V510" i="1"/>
  <c r="V509" i="1"/>
  <c r="V514" i="1"/>
  <c r="V517" i="1"/>
  <c r="V516" i="1"/>
  <c r="V518" i="1"/>
  <c r="V513" i="1"/>
  <c r="V512" i="1"/>
  <c r="V515" i="1"/>
  <c r="V519" i="1"/>
  <c r="V520" i="1"/>
  <c r="V521" i="1"/>
  <c r="V526" i="1"/>
  <c r="V528" i="1"/>
  <c r="V527" i="1"/>
  <c r="V529" i="1"/>
  <c r="V530" i="1"/>
  <c r="V535" i="1"/>
  <c r="V537" i="1"/>
  <c r="V536" i="1"/>
  <c r="V531" i="1"/>
  <c r="V532" i="1"/>
  <c r="V533" i="1"/>
  <c r="V534" i="1"/>
  <c r="V538" i="1"/>
  <c r="V539" i="1"/>
  <c r="V540" i="1"/>
  <c r="V542" i="1"/>
  <c r="V541" i="1"/>
  <c r="V543" i="1"/>
  <c r="V549" i="1"/>
  <c r="V550" i="1"/>
  <c r="V553" i="1"/>
  <c r="V544" i="1"/>
  <c r="V546" i="1"/>
  <c r="V551" i="1"/>
  <c r="V552" i="1"/>
  <c r="V563" i="1"/>
  <c r="V560" i="1"/>
  <c r="V558" i="1"/>
  <c r="V561" i="1"/>
  <c r="V562" i="1"/>
  <c r="V566" i="1"/>
  <c r="V559" i="1"/>
  <c r="V565" i="1"/>
  <c r="V564" i="1"/>
  <c r="V567" i="1"/>
  <c r="V569" i="1"/>
  <c r="V568" i="1"/>
  <c r="V574" i="1"/>
  <c r="V575" i="1"/>
  <c r="V577" i="1"/>
  <c r="V581" i="1"/>
  <c r="V576" i="1"/>
  <c r="V580" i="1"/>
  <c r="V578" i="1"/>
  <c r="V579" i="1"/>
  <c r="V583" i="1"/>
  <c r="V585" i="1"/>
  <c r="V582" i="1"/>
  <c r="V584" i="1"/>
  <c r="V591" i="1"/>
  <c r="V590" i="1"/>
  <c r="V593" i="1"/>
  <c r="V597" i="1"/>
  <c r="V599" i="1"/>
  <c r="V594" i="1"/>
  <c r="V592" i="1"/>
  <c r="V588" i="1"/>
  <c r="V595" i="1"/>
  <c r="V601" i="1"/>
  <c r="V596" i="1"/>
  <c r="V600" i="1"/>
  <c r="V598" i="1"/>
  <c r="V133" i="1"/>
  <c r="V132" i="1"/>
  <c r="V127" i="1"/>
  <c r="V129" i="1"/>
  <c r="V130" i="1"/>
  <c r="V131" i="1"/>
  <c r="V128" i="1"/>
  <c r="V124" i="1"/>
  <c r="V125" i="1"/>
  <c r="V126" i="1"/>
  <c r="V123" i="1"/>
  <c r="V122" i="1"/>
  <c r="V121" i="1"/>
  <c r="V120" i="1"/>
  <c r="V118" i="1"/>
  <c r="V119" i="1"/>
  <c r="V148" i="1"/>
  <c r="V149" i="1"/>
  <c r="V145" i="1"/>
  <c r="V144" i="1"/>
  <c r="V146" i="1"/>
  <c r="V143" i="1"/>
  <c r="V139" i="1"/>
  <c r="V142" i="1"/>
  <c r="V147" i="1"/>
  <c r="V140" i="1"/>
  <c r="V141" i="1"/>
  <c r="V136" i="1"/>
  <c r="V609" i="1"/>
  <c r="V608" i="1"/>
  <c r="V604" i="1"/>
  <c r="V603" i="1"/>
  <c r="V606" i="1"/>
  <c r="V602" i="1"/>
  <c r="V157" i="1"/>
  <c r="V156" i="1"/>
  <c r="V607" i="1"/>
  <c r="V605" i="1"/>
  <c r="V155" i="1"/>
  <c r="V154" i="1"/>
  <c r="V153" i="1"/>
  <c r="V152" i="1"/>
  <c r="V617" i="1"/>
  <c r="V625" i="1"/>
  <c r="V620" i="1"/>
  <c r="V619" i="1"/>
  <c r="V622" i="1"/>
  <c r="V624" i="1"/>
  <c r="V623" i="1"/>
  <c r="V613" i="1"/>
  <c r="V621" i="1"/>
  <c r="V611" i="1"/>
  <c r="V618" i="1"/>
  <c r="V616" i="1"/>
  <c r="V610" i="1"/>
  <c r="V615" i="1"/>
  <c r="V636" i="1"/>
  <c r="V640" i="1"/>
  <c r="V641" i="1"/>
  <c r="V638" i="1"/>
  <c r="V634" i="1"/>
  <c r="V639" i="1"/>
  <c r="V633" i="1"/>
  <c r="V635" i="1"/>
  <c r="V632" i="1"/>
  <c r="V637" i="1"/>
  <c r="V631" i="1"/>
  <c r="V630" i="1"/>
  <c r="V628" i="1"/>
  <c r="V656" i="1"/>
  <c r="V653" i="1"/>
  <c r="V657" i="1"/>
  <c r="V647" i="1"/>
  <c r="V652" i="1"/>
  <c r="V655" i="1"/>
  <c r="V654" i="1"/>
  <c r="V651" i="1"/>
  <c r="V650" i="1"/>
  <c r="V648" i="1"/>
  <c r="V649" i="1"/>
  <c r="V646" i="1"/>
  <c r="V673" i="1"/>
  <c r="V670" i="1"/>
  <c r="V669" i="1"/>
  <c r="V672" i="1"/>
  <c r="V666" i="1"/>
  <c r="V667" i="1"/>
  <c r="V668" i="1"/>
  <c r="V671" i="1"/>
  <c r="V663" i="1"/>
  <c r="V665" i="1"/>
  <c r="V664" i="1"/>
  <c r="V662" i="1"/>
  <c r="V687" i="1"/>
  <c r="V688" i="1"/>
  <c r="V681" i="1"/>
  <c r="V689" i="1"/>
  <c r="V685" i="1"/>
  <c r="V686" i="1"/>
  <c r="V682" i="1"/>
  <c r="V683" i="1"/>
  <c r="V684" i="1"/>
  <c r="V679" i="1"/>
  <c r="V680" i="1"/>
  <c r="V678" i="1"/>
  <c r="V701" i="1"/>
  <c r="V700" i="1"/>
  <c r="V697" i="1"/>
  <c r="V699" i="1"/>
  <c r="V698" i="1"/>
  <c r="V695" i="1"/>
  <c r="V696" i="1"/>
  <c r="V694" i="1"/>
  <c r="V693" i="1"/>
  <c r="V691" i="1"/>
  <c r="V692" i="1"/>
  <c r="V690" i="1"/>
  <c r="V717" i="1"/>
  <c r="V712" i="1"/>
  <c r="V711" i="1"/>
  <c r="V716" i="1"/>
  <c r="V710" i="1"/>
  <c r="V715" i="1"/>
  <c r="V714" i="1"/>
  <c r="V713" i="1"/>
  <c r="V706" i="1"/>
  <c r="V718" i="1"/>
  <c r="V707" i="1"/>
  <c r="V708" i="1"/>
  <c r="V736" i="1"/>
  <c r="V737" i="1"/>
  <c r="V735" i="1"/>
  <c r="V728" i="1"/>
  <c r="V733" i="1"/>
  <c r="V734" i="1"/>
  <c r="V731" i="1"/>
  <c r="V732" i="1"/>
  <c r="V730" i="1"/>
  <c r="V729" i="1"/>
  <c r="V727" i="1"/>
  <c r="V726" i="1"/>
  <c r="V753" i="1"/>
  <c r="V751" i="1"/>
  <c r="V752" i="1"/>
  <c r="V749" i="1"/>
  <c r="V747" i="1"/>
  <c r="V750" i="1"/>
  <c r="V746" i="1"/>
  <c r="V745" i="1"/>
  <c r="V743" i="1"/>
  <c r="V744" i="1"/>
  <c r="V740" i="1"/>
  <c r="V738" i="1"/>
  <c r="S658" i="1"/>
  <c r="S674" i="1"/>
  <c r="S704" i="1"/>
  <c r="S748" i="1"/>
  <c r="S661" i="1"/>
  <c r="S676" i="1"/>
  <c r="S705" i="1"/>
  <c r="S719" i="1"/>
  <c r="S725" i="1"/>
  <c r="S137" i="1"/>
  <c r="S135" i="1"/>
  <c r="S742" i="1"/>
  <c r="S150" i="1"/>
  <c r="S612" i="1"/>
  <c r="S643" i="1"/>
  <c r="S326" i="1"/>
  <c r="S341" i="1"/>
  <c r="S627" i="1"/>
  <c r="S340" i="1"/>
  <c r="S338" i="1"/>
  <c r="S354" i="1"/>
  <c r="S626" i="1"/>
  <c r="S370" i="1"/>
  <c r="S642" i="1"/>
  <c r="S438" i="1"/>
  <c r="S111" i="1"/>
  <c r="S645" i="1"/>
  <c r="S461" i="1"/>
  <c r="S459" i="1"/>
  <c r="S660" i="1"/>
  <c r="S460" i="1"/>
  <c r="S703" i="1"/>
  <c r="S702" i="1"/>
  <c r="S474" i="1"/>
  <c r="S709" i="1"/>
  <c r="S495" i="1"/>
  <c r="S506" i="1"/>
  <c r="S720" i="1"/>
  <c r="S291" i="1"/>
  <c r="S723" i="1"/>
  <c r="S138" i="1"/>
  <c r="S741" i="1"/>
  <c r="S151" i="1"/>
  <c r="S629" i="1"/>
  <c r="S659" i="1"/>
  <c r="S722" i="1"/>
  <c r="S724" i="1"/>
  <c r="S545" i="1"/>
  <c r="S295" i="1"/>
  <c r="S244" i="1"/>
  <c r="S292" i="1"/>
  <c r="S110" i="1"/>
  <c r="S260" i="1"/>
  <c r="S48" i="1"/>
  <c r="S18" i="1"/>
  <c r="S265" i="1"/>
  <c r="S259" i="1"/>
  <c r="S276" i="1"/>
  <c r="S21" i="1"/>
  <c r="S480" i="1"/>
  <c r="S274" i="1"/>
  <c r="S614" i="1"/>
  <c r="S290" i="1"/>
  <c r="S57" i="1"/>
  <c r="S33" i="1"/>
  <c r="S47" i="1"/>
  <c r="S35" i="1"/>
  <c r="S76" i="1"/>
  <c r="S46" i="1"/>
  <c r="S75" i="1"/>
  <c r="S77" i="1"/>
  <c r="S162" i="1"/>
  <c r="S321" i="1"/>
  <c r="S346" i="1"/>
  <c r="S644" i="1"/>
  <c r="S320" i="1"/>
  <c r="S193" i="1"/>
  <c r="S372" i="1"/>
  <c r="S677" i="1"/>
  <c r="S675" i="1"/>
  <c r="S436" i="1"/>
  <c r="S721" i="1"/>
  <c r="S192" i="1"/>
  <c r="S739" i="1"/>
  <c r="S318" i="1"/>
  <c r="S191" i="1"/>
  <c r="S209" i="1"/>
  <c r="S208" i="1"/>
  <c r="S200" i="1"/>
  <c r="S94" i="1"/>
  <c r="S557" i="1"/>
  <c r="S319" i="1"/>
  <c r="S218" i="1"/>
  <c r="S253" i="1"/>
  <c r="S570" i="1"/>
  <c r="S323" i="1"/>
  <c r="S322" i="1"/>
  <c r="S571" i="1"/>
  <c r="S331" i="1"/>
  <c r="S414" i="1"/>
  <c r="S406" i="1"/>
  <c r="S434" i="1"/>
  <c r="S26" i="1"/>
  <c r="S36" i="1"/>
  <c r="S97" i="1"/>
  <c r="S37" i="1"/>
  <c r="S113" i="1"/>
  <c r="S458" i="1"/>
  <c r="S34" i="1"/>
  <c r="S164" i="1"/>
  <c r="S163" i="1"/>
  <c r="S486" i="1"/>
  <c r="S502" i="1"/>
  <c r="S507" i="1"/>
  <c r="S524" i="1"/>
  <c r="S221" i="1"/>
  <c r="S231" i="1"/>
  <c r="S233" i="1"/>
  <c r="S525" i="1"/>
  <c r="S226" i="1"/>
  <c r="S227" i="1"/>
  <c r="S245" i="1"/>
  <c r="S277" i="1"/>
  <c r="S134" i="1"/>
  <c r="S275" i="1"/>
  <c r="S522" i="1"/>
  <c r="S555" i="1"/>
  <c r="S572" i="1"/>
  <c r="S573" i="1"/>
  <c r="S357" i="1"/>
  <c r="S374" i="1"/>
  <c r="S376" i="1"/>
  <c r="S389" i="1"/>
  <c r="S386" i="1"/>
  <c r="S397" i="1"/>
  <c r="S387" i="1"/>
  <c r="S408" i="1"/>
  <c r="S417" i="1"/>
  <c r="S102" i="1"/>
  <c r="S420" i="1"/>
  <c r="S95" i="1"/>
  <c r="S112" i="1"/>
  <c r="S478" i="1"/>
  <c r="S505" i="1"/>
  <c r="S499" i="1"/>
  <c r="S523" i="1"/>
  <c r="S418" i="1"/>
  <c r="S423" i="1"/>
  <c r="S548" i="1"/>
  <c r="S547" i="1"/>
  <c r="S556" i="1"/>
  <c r="S554" i="1"/>
  <c r="S587" i="1"/>
  <c r="S421" i="1"/>
  <c r="S586" i="1"/>
  <c r="S435" i="1"/>
  <c r="S589" i="1"/>
  <c r="T658" i="1"/>
  <c r="V658" i="1"/>
  <c r="T674" i="1"/>
  <c r="V674" i="1"/>
  <c r="T704" i="1"/>
  <c r="V704" i="1"/>
  <c r="T748" i="1"/>
  <c r="V748" i="1"/>
  <c r="T661" i="1"/>
  <c r="V661" i="1"/>
  <c r="T676" i="1"/>
  <c r="V676" i="1"/>
  <c r="T705" i="1"/>
  <c r="V705" i="1"/>
  <c r="T719" i="1"/>
  <c r="V719" i="1"/>
  <c r="T725" i="1"/>
  <c r="V725" i="1"/>
  <c r="T137" i="1"/>
  <c r="V137" i="1"/>
  <c r="T135" i="1"/>
  <c r="V135" i="1"/>
  <c r="T742" i="1"/>
  <c r="V742" i="1"/>
  <c r="T150" i="1"/>
  <c r="V150" i="1"/>
  <c r="T612" i="1"/>
  <c r="V612" i="1"/>
  <c r="T643" i="1"/>
  <c r="V643" i="1"/>
  <c r="T326" i="1"/>
  <c r="V326" i="1"/>
  <c r="T341" i="1"/>
  <c r="V341" i="1"/>
  <c r="T627" i="1"/>
  <c r="V627" i="1"/>
  <c r="T340" i="1"/>
  <c r="V340" i="1"/>
  <c r="T338" i="1"/>
  <c r="V338" i="1"/>
  <c r="T354" i="1"/>
  <c r="V354" i="1"/>
  <c r="T626" i="1"/>
  <c r="V626" i="1"/>
  <c r="T370" i="1"/>
  <c r="V370" i="1"/>
  <c r="T642" i="1"/>
  <c r="V642" i="1"/>
  <c r="T438" i="1"/>
  <c r="V438" i="1"/>
  <c r="T111" i="1"/>
  <c r="V111" i="1"/>
  <c r="T645" i="1"/>
  <c r="V645" i="1"/>
  <c r="T461" i="1"/>
  <c r="V461" i="1"/>
  <c r="T459" i="1"/>
  <c r="V459" i="1"/>
  <c r="T660" i="1"/>
  <c r="V660" i="1"/>
  <c r="T460" i="1"/>
  <c r="V460" i="1"/>
  <c r="T703" i="1"/>
  <c r="V703" i="1"/>
  <c r="T702" i="1"/>
  <c r="V702" i="1"/>
  <c r="T474" i="1"/>
  <c r="V474" i="1"/>
  <c r="T709" i="1"/>
  <c r="V709" i="1"/>
  <c r="T495" i="1"/>
  <c r="V495" i="1"/>
  <c r="T506" i="1"/>
  <c r="V506" i="1"/>
  <c r="T720" i="1"/>
  <c r="V720" i="1"/>
  <c r="T291" i="1"/>
  <c r="V291" i="1"/>
  <c r="T723" i="1"/>
  <c r="V723" i="1"/>
  <c r="T138" i="1"/>
  <c r="V138" i="1"/>
  <c r="T741" i="1"/>
  <c r="V741" i="1"/>
  <c r="T151" i="1"/>
  <c r="V151" i="1"/>
  <c r="T629" i="1"/>
  <c r="V629" i="1"/>
  <c r="T659" i="1"/>
  <c r="V659" i="1"/>
  <c r="T722" i="1"/>
  <c r="V722" i="1"/>
  <c r="T724" i="1"/>
  <c r="V724" i="1"/>
  <c r="T545" i="1"/>
  <c r="V545" i="1"/>
  <c r="T295" i="1"/>
  <c r="V295" i="1"/>
  <c r="T244" i="1"/>
  <c r="V244" i="1"/>
  <c r="T292" i="1"/>
  <c r="V292" i="1"/>
  <c r="T110" i="1"/>
  <c r="V110" i="1"/>
  <c r="T260" i="1"/>
  <c r="V260" i="1"/>
  <c r="T48" i="1"/>
  <c r="V48" i="1"/>
  <c r="T18" i="1"/>
  <c r="V18" i="1"/>
  <c r="T265" i="1"/>
  <c r="V265" i="1"/>
  <c r="T259" i="1"/>
  <c r="V259" i="1"/>
  <c r="T276" i="1"/>
  <c r="V276" i="1"/>
  <c r="T21" i="1"/>
  <c r="V21" i="1"/>
  <c r="T480" i="1"/>
  <c r="V480" i="1"/>
  <c r="T274" i="1"/>
  <c r="V274" i="1"/>
  <c r="T614" i="1"/>
  <c r="V614" i="1"/>
  <c r="T290" i="1"/>
  <c r="V290" i="1"/>
  <c r="T57" i="1"/>
  <c r="V57" i="1"/>
  <c r="T33" i="1"/>
  <c r="V33" i="1"/>
  <c r="T47" i="1"/>
  <c r="V47" i="1"/>
  <c r="T35" i="1"/>
  <c r="V35" i="1"/>
  <c r="T76" i="1"/>
  <c r="V76" i="1"/>
  <c r="T46" i="1"/>
  <c r="V46" i="1"/>
  <c r="T75" i="1"/>
  <c r="V75" i="1"/>
  <c r="T77" i="1"/>
  <c r="V77" i="1"/>
  <c r="T162" i="1"/>
  <c r="V162" i="1"/>
  <c r="T321" i="1"/>
  <c r="V321" i="1"/>
  <c r="T346" i="1"/>
  <c r="V346" i="1"/>
  <c r="T644" i="1"/>
  <c r="V644" i="1"/>
  <c r="T320" i="1"/>
  <c r="V320" i="1"/>
  <c r="T193" i="1"/>
  <c r="V193" i="1"/>
  <c r="T372" i="1"/>
  <c r="V372" i="1"/>
  <c r="T677" i="1"/>
  <c r="V677" i="1"/>
  <c r="T675" i="1"/>
  <c r="V675" i="1"/>
  <c r="T436" i="1"/>
  <c r="V436" i="1"/>
  <c r="T721" i="1"/>
  <c r="V721" i="1"/>
  <c r="T192" i="1"/>
  <c r="V192" i="1"/>
  <c r="T739" i="1"/>
  <c r="V739" i="1"/>
  <c r="T318" i="1"/>
  <c r="V318" i="1"/>
  <c r="T191" i="1"/>
  <c r="V191" i="1"/>
  <c r="T209" i="1"/>
  <c r="V209" i="1"/>
  <c r="T208" i="1"/>
  <c r="V208" i="1"/>
  <c r="T200" i="1"/>
  <c r="V200" i="1"/>
  <c r="T94" i="1"/>
  <c r="V94" i="1"/>
  <c r="T557" i="1"/>
  <c r="V557" i="1"/>
  <c r="T319" i="1"/>
  <c r="V319" i="1"/>
  <c r="T218" i="1"/>
  <c r="V218" i="1"/>
  <c r="T253" i="1"/>
  <c r="V253" i="1"/>
  <c r="T570" i="1"/>
  <c r="V570" i="1"/>
  <c r="T323" i="1"/>
  <c r="V323" i="1"/>
  <c r="T322" i="1"/>
  <c r="V322" i="1"/>
  <c r="T571" i="1"/>
  <c r="V571" i="1"/>
  <c r="T331" i="1"/>
  <c r="V331" i="1"/>
  <c r="T414" i="1"/>
  <c r="V414" i="1"/>
  <c r="T406" i="1"/>
  <c r="V406" i="1"/>
  <c r="T434" i="1"/>
  <c r="V434" i="1"/>
  <c r="T26" i="1"/>
  <c r="V26" i="1"/>
  <c r="T36" i="1"/>
  <c r="V36" i="1"/>
  <c r="T97" i="1"/>
  <c r="V97" i="1"/>
  <c r="T37" i="1"/>
  <c r="V37" i="1"/>
  <c r="T113" i="1"/>
  <c r="V113" i="1"/>
  <c r="T458" i="1"/>
  <c r="V458" i="1"/>
  <c r="T34" i="1"/>
  <c r="V34" i="1"/>
  <c r="T164" i="1"/>
  <c r="V164" i="1"/>
  <c r="T163" i="1"/>
  <c r="V163" i="1"/>
  <c r="T486" i="1"/>
  <c r="V486" i="1"/>
  <c r="T502" i="1"/>
  <c r="V502" i="1"/>
  <c r="T507" i="1"/>
  <c r="V507" i="1"/>
  <c r="T524" i="1"/>
  <c r="V524" i="1"/>
  <c r="T221" i="1"/>
  <c r="V221" i="1"/>
  <c r="T231" i="1"/>
  <c r="V231" i="1"/>
  <c r="T233" i="1"/>
  <c r="V233" i="1"/>
  <c r="T525" i="1"/>
  <c r="V525" i="1"/>
  <c r="T226" i="1"/>
  <c r="V226" i="1"/>
  <c r="T227" i="1"/>
  <c r="V227" i="1"/>
  <c r="T245" i="1"/>
  <c r="V245" i="1"/>
  <c r="T277" i="1"/>
  <c r="V277" i="1"/>
  <c r="T134" i="1"/>
  <c r="V134" i="1"/>
  <c r="T275" i="1"/>
  <c r="V275" i="1"/>
  <c r="T522" i="1"/>
  <c r="V522" i="1"/>
  <c r="T555" i="1"/>
  <c r="V555" i="1"/>
  <c r="T572" i="1"/>
  <c r="V572" i="1"/>
  <c r="T573" i="1"/>
  <c r="V573" i="1"/>
  <c r="T357" i="1"/>
  <c r="V357" i="1"/>
  <c r="T374" i="1"/>
  <c r="V374" i="1"/>
  <c r="T376" i="1"/>
  <c r="V376" i="1"/>
  <c r="T389" i="1"/>
  <c r="V389" i="1"/>
  <c r="T386" i="1"/>
  <c r="V386" i="1"/>
  <c r="T397" i="1"/>
  <c r="V397" i="1"/>
  <c r="T387" i="1"/>
  <c r="V387" i="1"/>
  <c r="T408" i="1"/>
  <c r="V408" i="1"/>
  <c r="T417" i="1"/>
  <c r="V417" i="1"/>
  <c r="T102" i="1"/>
  <c r="V102" i="1"/>
  <c r="T420" i="1"/>
  <c r="V420" i="1"/>
  <c r="T95" i="1"/>
  <c r="V95" i="1"/>
  <c r="T112" i="1"/>
  <c r="V112" i="1"/>
  <c r="T478" i="1"/>
  <c r="V478" i="1"/>
  <c r="T505" i="1"/>
  <c r="V505" i="1"/>
  <c r="T499" i="1"/>
  <c r="V499" i="1"/>
  <c r="T523" i="1"/>
  <c r="V523" i="1"/>
  <c r="T418" i="1"/>
  <c r="V418" i="1"/>
  <c r="T423" i="1"/>
  <c r="V423" i="1"/>
  <c r="T548" i="1"/>
  <c r="V548" i="1"/>
  <c r="T547" i="1"/>
  <c r="V547" i="1"/>
  <c r="T556" i="1"/>
  <c r="V556" i="1"/>
  <c r="T554" i="1"/>
  <c r="V554" i="1"/>
  <c r="T587" i="1"/>
  <c r="V587" i="1"/>
  <c r="T421" i="1"/>
  <c r="V421" i="1"/>
  <c r="T586" i="1"/>
  <c r="V586" i="1"/>
  <c r="T435" i="1"/>
  <c r="V435" i="1"/>
  <c r="T589" i="1"/>
  <c r="V589" i="1"/>
</calcChain>
</file>

<file path=xl/sharedStrings.xml><?xml version="1.0" encoding="utf-8"?>
<sst xmlns="http://schemas.openxmlformats.org/spreadsheetml/2006/main" count="1167" uniqueCount="29">
  <si>
    <t>tvbn</t>
  </si>
  <si>
    <t>H</t>
  </si>
  <si>
    <t>S</t>
  </si>
  <si>
    <t>code</t>
  </si>
  <si>
    <t>C</t>
  </si>
  <si>
    <t>P</t>
  </si>
  <si>
    <t>T</t>
  </si>
  <si>
    <t>mg N/100g</t>
  </si>
  <si>
    <t>Classification_label</t>
  </si>
  <si>
    <t>log-Redness</t>
  </si>
  <si>
    <t>log-Greeness</t>
  </si>
  <si>
    <t>log-Blueness</t>
  </si>
  <si>
    <t>log-L* lab</t>
  </si>
  <si>
    <t>log-a* lab</t>
  </si>
  <si>
    <t>log-b* lab</t>
  </si>
  <si>
    <t>log-Hue</t>
  </si>
  <si>
    <t>log-Value</t>
  </si>
  <si>
    <t>Redness</t>
  </si>
  <si>
    <t>Greeness</t>
  </si>
  <si>
    <t>Blueness</t>
  </si>
  <si>
    <t>L* lab</t>
  </si>
  <si>
    <t>a* lab</t>
  </si>
  <si>
    <t>b* lab</t>
  </si>
  <si>
    <t>Hue</t>
  </si>
  <si>
    <t>Value</t>
  </si>
  <si>
    <t>Source</t>
  </si>
  <si>
    <t>L</t>
  </si>
  <si>
    <t>log-Saturation</t>
  </si>
  <si>
    <t>Saturation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</si>
</sst>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2" borderId="0" xfId="0" applyFill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C83E689-EA7A-4A88-8905-866D51BD13D9}" name="Table1" displayName="Table1" ref="A1:W948" totalsRowShown="0">
  <autoFilter ref="A1:W948" xr:uid="{AC83E689-EA7A-4A88-8905-866D51BD13D9}"/>
  <sortState xmlns:xlrd2="http://schemas.microsoft.com/office/spreadsheetml/2017/richdata2" ref="A118:W601">
    <sortCondition ref="A1:A753"/>
  </sortState>
  <tableColumns count="23">
    <tableColumn id="1" xr3:uid="{82D2AED7-6898-4C2F-B345-4726734F197C}" name="tvbn"/>
    <tableColumn id="2" xr3:uid="{A07ED476-F38A-49C6-B108-EA84D89E5387}" name="Redness"/>
    <tableColumn id="3" xr3:uid="{A66313B1-DA99-4269-8441-ED1A875CBD76}" name="Greeness"/>
    <tableColumn id="4" xr3:uid="{B493F656-64C2-46F6-81CF-B69CBCD0B591}" name="Blueness"/>
    <tableColumn id="5" xr3:uid="{1167A3EA-5455-45AA-878D-0E1D66376BD5}" name="L* lab"/>
    <tableColumn id="6" xr3:uid="{60EC834D-192C-490D-A5F2-ED8DA2FA2FCA}" name="a* lab"/>
    <tableColumn id="7" xr3:uid="{BC48F156-0DA7-4BF1-948C-76252CC9CF5B}" name="b* lab"/>
    <tableColumn id="8" xr3:uid="{25C5C5ED-3003-405C-9828-87798D9666F9}" name="Hue"/>
    <tableColumn id="9" xr3:uid="{114AF395-E659-49CD-9491-899E04321463}" name="Saturation"/>
    <tableColumn id="10" xr3:uid="{82DA0230-1B0A-4276-8E23-D55D03840F19}" name="Value"/>
    <tableColumn id="11" xr3:uid="{16DE94A7-C831-44CC-9134-68D184EE565E}" name="code"/>
    <tableColumn id="12" xr3:uid="{FDB805AC-B3AC-45D4-A111-E0C3A6DD1E30}" name="mg N/100g"/>
    <tableColumn id="13" xr3:uid="{58499B53-3C04-4D56-9057-813F4F07DA81}" name="Classification_label"/>
    <tableColumn id="14" xr3:uid="{88487526-EEC1-4447-94D5-550E62D486CD}" name="log-Redness" dataDxfId="2">
      <calculatedColumnFormula>LN(1+Table1[[#This Row],[Redness]])</calculatedColumnFormula>
    </tableColumn>
    <tableColumn id="15" xr3:uid="{EED291D5-3F42-4E3A-97E3-E43A7909172B}" name="log-Greeness">
      <calculatedColumnFormula>LN(1+Table1[[#This Row],[Greeness]])</calculatedColumnFormula>
    </tableColumn>
    <tableColumn id="16" xr3:uid="{8D56B323-CA7A-42A5-B098-8EB57CC2AF52}" name="log-Blueness">
      <calculatedColumnFormula>LN(1+Table1[[#This Row],[Blueness]])</calculatedColumnFormula>
    </tableColumn>
    <tableColumn id="17" xr3:uid="{F463F4B4-A920-4370-90D5-B5E2F6F9EBB6}" name="log-L* lab">
      <calculatedColumnFormula>LN(1+Table1[[#This Row],[L* lab]])</calculatedColumnFormula>
    </tableColumn>
    <tableColumn id="18" xr3:uid="{B7184441-06A7-4B68-AF62-BC926F35DA07}" name="log-a* lab" dataDxfId="1">
      <calculatedColumnFormula>LN(1+Table1[[#This Row],[a* lab]]+128)</calculatedColumnFormula>
    </tableColumn>
    <tableColumn id="19" xr3:uid="{C968A1FC-CA29-4852-B1B8-1D6FC020B2D5}" name="log-b* lab" dataDxfId="0">
      <calculatedColumnFormula>LN(1+Table1[[#This Row],[b* lab]]+128)</calculatedColumnFormula>
    </tableColumn>
    <tableColumn id="20" xr3:uid="{40EFA59F-C3A9-4443-8242-EC2958FAD5BB}" name="log-Hue">
      <calculatedColumnFormula>LN(1+Table1[[#This Row],[Hue]])</calculatedColumnFormula>
    </tableColumn>
    <tableColumn id="21" xr3:uid="{FD75CA75-CA69-435F-ADA4-50F9124B6015}" name="log-Saturation">
      <calculatedColumnFormula>LN(1+Table1[[#This Row],[Saturation]])</calculatedColumnFormula>
    </tableColumn>
    <tableColumn id="22" xr3:uid="{7B1366B2-7FAE-4AD3-A9EB-679EB70A5D31}" name="log-Value">
      <calculatedColumnFormula>LN(1+Table1[[#This Row],[Value]])</calculatedColumnFormula>
    </tableColumn>
    <tableColumn id="23" xr3:uid="{828164F9-4FD9-4C13-A547-2E45A8211DDD}" name="Sour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945"/>
  <sheetViews>
    <sheetView tabSelected="1" zoomScale="85" zoomScaleNormal="85" workbookViewId="0">
      <selection activeCell="I1" sqref="I1"/>
    </sheetView>
  </sheetViews>
  <sheetFormatPr defaultRowHeight="14.4" x14ac:dyDescent="0.3"/>
  <cols>
    <col min="11" max="11" width="7.44140625" customWidth="1"/>
    <col min="12" max="12" width="7.88671875" customWidth="1"/>
    <col min="13" max="13" width="19.21875" bestFit="1" customWidth="1"/>
    <col min="14" max="14" width="14.109375" bestFit="1" customWidth="1"/>
    <col min="15" max="15" width="14.88671875" bestFit="1" customWidth="1"/>
    <col min="16" max="16" width="14.6640625" bestFit="1" customWidth="1"/>
    <col min="21" max="21" width="15.6640625" bestFit="1" customWidth="1"/>
  </cols>
  <sheetData>
    <row r="1" spans="1:23" x14ac:dyDescent="0.3">
      <c r="A1" t="s">
        <v>0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28</v>
      </c>
      <c r="J1" t="s">
        <v>24</v>
      </c>
      <c r="K1" t="s">
        <v>3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27</v>
      </c>
      <c r="V1" t="s">
        <v>16</v>
      </c>
      <c r="W1" t="s">
        <v>25</v>
      </c>
    </row>
    <row r="2" spans="1:23" x14ac:dyDescent="0.3">
      <c r="A2">
        <v>0</v>
      </c>
      <c r="B2">
        <v>192.09282777423999</v>
      </c>
      <c r="C2">
        <v>167.09279022434001</v>
      </c>
      <c r="D2">
        <v>13.0504039851811</v>
      </c>
      <c r="E2">
        <v>68.693571052196205</v>
      </c>
      <c r="F2">
        <v>-4.3964638597936903</v>
      </c>
      <c r="G2">
        <v>69.831224845363906</v>
      </c>
      <c r="H2">
        <v>51.622084748130497</v>
      </c>
      <c r="I2">
        <v>93.206199244190998</v>
      </c>
      <c r="J2">
        <v>75.330520695780706</v>
      </c>
      <c r="K2" t="s">
        <v>4</v>
      </c>
      <c r="L2" s="2">
        <v>0</v>
      </c>
      <c r="M2">
        <v>0</v>
      </c>
      <c r="N2">
        <f>LN(1+Table1[[#This Row],[Redness]])</f>
        <v>5.2631710461980079</v>
      </c>
      <c r="O2">
        <f>LN(1+Table1[[#This Row],[Greeness]])</f>
        <v>5.1245161496931102</v>
      </c>
      <c r="P2">
        <f>LN(1+Table1[[#This Row],[Blueness]])</f>
        <v>2.6426511487600566</v>
      </c>
      <c r="Q2">
        <f>LN(1+Table1[[#This Row],[L* lab]])</f>
        <v>4.2441080760976577</v>
      </c>
      <c r="R2">
        <f>LN(1+Table1[[#This Row],[a* lab]]+128)</f>
        <v>4.8251369858881006</v>
      </c>
      <c r="S2">
        <f>LN(1+Table1[[#This Row],[b* lab]]+128)</f>
        <v>5.2924563485153815</v>
      </c>
      <c r="T2">
        <f>LN(1+Table1[[#This Row],[Hue]])</f>
        <v>3.9631358937579817</v>
      </c>
      <c r="U2">
        <f>LN(1+Table1[[#This Row],[Saturation]])</f>
        <v>4.545485988803291</v>
      </c>
      <c r="V2">
        <f>LN(1+Table1[[#This Row],[Value]])</f>
        <v>4.3350728674271055</v>
      </c>
    </row>
    <row r="3" spans="1:23" x14ac:dyDescent="0.3">
      <c r="A3">
        <v>0</v>
      </c>
      <c r="B3">
        <v>189.71153332983999</v>
      </c>
      <c r="C3">
        <v>164.74171853051101</v>
      </c>
      <c r="D3">
        <v>10.274860204142501</v>
      </c>
      <c r="E3">
        <v>67.836902265538697</v>
      </c>
      <c r="F3">
        <v>-4.2522520495797398</v>
      </c>
      <c r="G3">
        <v>69.4749668052022</v>
      </c>
      <c r="H3">
        <v>51.650598164455403</v>
      </c>
      <c r="I3">
        <v>94.583955954708202</v>
      </c>
      <c r="J3">
        <v>74.396679737192201</v>
      </c>
      <c r="K3" t="s">
        <v>4</v>
      </c>
      <c r="L3" s="2">
        <v>0</v>
      </c>
      <c r="M3">
        <v>0</v>
      </c>
      <c r="N3">
        <f>LN(1+Table1[[#This Row],[Redness]])</f>
        <v>5.2507619896965272</v>
      </c>
      <c r="O3">
        <f>LN(1+Table1[[#This Row],[Greeness]])</f>
        <v>5.1104306642009227</v>
      </c>
      <c r="P3">
        <f>LN(1+Table1[[#This Row],[Blueness]])</f>
        <v>2.4225754865662008</v>
      </c>
      <c r="Q3">
        <f>LN(1+Table1[[#This Row],[L* lab]])</f>
        <v>4.2317399712828951</v>
      </c>
      <c r="R3">
        <f>LN(1+Table1[[#This Row],[a* lab]]+128)</f>
        <v>4.8262936819670381</v>
      </c>
      <c r="S3">
        <f>LN(1+Table1[[#This Row],[b* lab]]+128)</f>
        <v>5.2906629803618985</v>
      </c>
      <c r="T3">
        <f>LN(1+Table1[[#This Row],[Hue]])</f>
        <v>3.9636775996636979</v>
      </c>
      <c r="U3">
        <f>LN(1+Table1[[#This Row],[Saturation]])</f>
        <v>4.5600049812316614</v>
      </c>
      <c r="V3">
        <f>LN(1+Table1[[#This Row],[Value]])</f>
        <v>4.3227632387285739</v>
      </c>
    </row>
    <row r="4" spans="1:23" x14ac:dyDescent="0.3">
      <c r="A4">
        <v>0</v>
      </c>
      <c r="B4">
        <v>188.85791110763299</v>
      </c>
      <c r="C4">
        <v>163.92258538127501</v>
      </c>
      <c r="D4">
        <v>9.6479186022543093</v>
      </c>
      <c r="E4">
        <v>67.535911571454506</v>
      </c>
      <c r="F4">
        <v>-4.2069506853929699</v>
      </c>
      <c r="G4">
        <v>69.293726182918604</v>
      </c>
      <c r="H4">
        <v>51.651584140674601</v>
      </c>
      <c r="I4">
        <v>94.891440583203405</v>
      </c>
      <c r="J4">
        <v>74.061925924562203</v>
      </c>
      <c r="K4" t="s">
        <v>4</v>
      </c>
      <c r="L4" s="2">
        <v>0</v>
      </c>
      <c r="M4">
        <v>0</v>
      </c>
      <c r="N4">
        <f>LN(1+Table1[[#This Row],[Redness]])</f>
        <v>5.2462759561158334</v>
      </c>
      <c r="O4">
        <f>LN(1+Table1[[#This Row],[Greeness]])</f>
        <v>5.1054761842940124</v>
      </c>
      <c r="P4">
        <f>LN(1+Table1[[#This Row],[Blueness]])</f>
        <v>2.3653644366472046</v>
      </c>
      <c r="Q4">
        <f>LN(1+Table1[[#This Row],[L* lab]])</f>
        <v>4.2273578644113261</v>
      </c>
      <c r="R4">
        <f>LN(1+Table1[[#This Row],[a* lab]]+128)</f>
        <v>4.8266567597898309</v>
      </c>
      <c r="S4">
        <f>LN(1+Table1[[#This Row],[b* lab]]+128)</f>
        <v>5.289749397016779</v>
      </c>
      <c r="T4">
        <f>LN(1+Table1[[#This Row],[Hue]])</f>
        <v>3.963696326269313</v>
      </c>
      <c r="U4">
        <f>LN(1+Table1[[#This Row],[Saturation]])</f>
        <v>4.5632167243419621</v>
      </c>
      <c r="V4">
        <f>LN(1+Table1[[#This Row],[Value]])</f>
        <v>4.318313451845091</v>
      </c>
    </row>
    <row r="5" spans="1:23" x14ac:dyDescent="0.3">
      <c r="A5">
        <v>0</v>
      </c>
      <c r="B5">
        <v>187.88306666320699</v>
      </c>
      <c r="C5">
        <v>162.88303005935501</v>
      </c>
      <c r="D5">
        <v>7.9412010326437397</v>
      </c>
      <c r="E5">
        <v>67.162604300798293</v>
      </c>
      <c r="F5">
        <v>-4.1124297909778704</v>
      </c>
      <c r="G5">
        <v>69.195450045224405</v>
      </c>
      <c r="H5">
        <v>51.663962185927701</v>
      </c>
      <c r="I5">
        <v>95.773327967400604</v>
      </c>
      <c r="J5">
        <v>73.6796339855714</v>
      </c>
      <c r="K5" t="s">
        <v>4</v>
      </c>
      <c r="L5" s="2">
        <v>0</v>
      </c>
      <c r="M5">
        <v>0</v>
      </c>
      <c r="N5">
        <f>LN(1+Table1[[#This Row],[Redness]])</f>
        <v>5.2411281286853049</v>
      </c>
      <c r="O5">
        <f>LN(1+Table1[[#This Row],[Greeness]])</f>
        <v>5.0991529420083213</v>
      </c>
      <c r="P5">
        <f>LN(1+Table1[[#This Row],[Blueness]])</f>
        <v>2.1906699238582843</v>
      </c>
      <c r="Q5">
        <f>LN(1+Table1[[#This Row],[L* lab]])</f>
        <v>4.2218960904296017</v>
      </c>
      <c r="R5">
        <f>LN(1+Table1[[#This Row],[a* lab]]+128)</f>
        <v>4.8274138942371163</v>
      </c>
      <c r="S5">
        <f>LN(1+Table1[[#This Row],[b* lab]]+128)</f>
        <v>5.289253665251076</v>
      </c>
      <c r="T5">
        <f>LN(1+Table1[[#This Row],[Hue]])</f>
        <v>3.9639313921402475</v>
      </c>
      <c r="U5">
        <f>LN(1+Table1[[#This Row],[Saturation]])</f>
        <v>4.5723714187882392</v>
      </c>
      <c r="V5">
        <f>LN(1+Table1[[#This Row],[Value]])</f>
        <v>4.3132074175577539</v>
      </c>
    </row>
    <row r="6" spans="1:23" x14ac:dyDescent="0.3">
      <c r="A6">
        <v>0</v>
      </c>
      <c r="B6">
        <v>186.547888885454</v>
      </c>
      <c r="C6">
        <v>161.54785258165299</v>
      </c>
      <c r="D6">
        <v>6.6032085897524704</v>
      </c>
      <c r="E6">
        <v>66.675786073325497</v>
      </c>
      <c r="F6">
        <v>-4.0174277146772797</v>
      </c>
      <c r="G6">
        <v>68.952476122795602</v>
      </c>
      <c r="H6">
        <v>51.664092676910002</v>
      </c>
      <c r="I6">
        <v>96.460314491252603</v>
      </c>
      <c r="J6">
        <v>73.156034857040794</v>
      </c>
      <c r="K6" t="s">
        <v>4</v>
      </c>
      <c r="L6" s="2">
        <v>0</v>
      </c>
      <c r="M6">
        <v>0</v>
      </c>
      <c r="N6">
        <f>LN(1+Table1[[#This Row],[Redness]])</f>
        <v>5.2340342201886392</v>
      </c>
      <c r="O6">
        <f>LN(1+Table1[[#This Row],[Greeness]])</f>
        <v>5.0909724358453818</v>
      </c>
      <c r="P6">
        <f>LN(1+Table1[[#This Row],[Blueness]])</f>
        <v>2.0285703410603433</v>
      </c>
      <c r="Q6">
        <f>LN(1+Table1[[#This Row],[L* lab]])</f>
        <v>4.214728450849611</v>
      </c>
      <c r="R6">
        <f>LN(1+Table1[[#This Row],[a* lab]]+128)</f>
        <v>4.8281743058647715</v>
      </c>
      <c r="S6">
        <f>LN(1+Table1[[#This Row],[b* lab]]+128)</f>
        <v>5.2880269823033847</v>
      </c>
      <c r="T6">
        <f>LN(1+Table1[[#This Row],[Hue]])</f>
        <v>3.9639338699412945</v>
      </c>
      <c r="U6">
        <f>LN(1+Table1[[#This Row],[Saturation]])</f>
        <v>4.579445264285309</v>
      </c>
      <c r="V6">
        <f>LN(1+Table1[[#This Row],[Value]])</f>
        <v>4.3061714524204104</v>
      </c>
    </row>
    <row r="7" spans="1:23" x14ac:dyDescent="0.3">
      <c r="A7">
        <v>0</v>
      </c>
      <c r="B7">
        <v>185.303466663254</v>
      </c>
      <c r="C7">
        <v>160.30343063910999</v>
      </c>
      <c r="D7">
        <v>5.3033486314902696</v>
      </c>
      <c r="E7">
        <v>66.222506420220597</v>
      </c>
      <c r="F7">
        <v>-3.9297699005108901</v>
      </c>
      <c r="G7">
        <v>68.732454164736396</v>
      </c>
      <c r="H7">
        <v>51.666660123056403</v>
      </c>
      <c r="I7">
        <v>97.138019742972205</v>
      </c>
      <c r="J7">
        <v>72.668026142452803</v>
      </c>
      <c r="K7" t="s">
        <v>4</v>
      </c>
      <c r="L7" s="2">
        <v>0</v>
      </c>
      <c r="M7">
        <v>0</v>
      </c>
      <c r="N7">
        <f>LN(1+Table1[[#This Row],[Redness]])</f>
        <v>5.2273768853960592</v>
      </c>
      <c r="O7">
        <f>LN(1+Table1[[#This Row],[Greeness]])</f>
        <v>5.0832872535913483</v>
      </c>
      <c r="P7">
        <f>LN(1+Table1[[#This Row],[Blueness]])</f>
        <v>1.8410810209940658</v>
      </c>
      <c r="Q7">
        <f>LN(1+Table1[[#This Row],[L* lab]])</f>
        <v>4.2080081084245045</v>
      </c>
      <c r="R7">
        <f>LN(1+Table1[[#This Row],[a* lab]]+128)</f>
        <v>4.828875420324767</v>
      </c>
      <c r="S7">
        <f>LN(1+Table1[[#This Row],[b* lab]]+128)</f>
        <v>5.2869148753521502</v>
      </c>
      <c r="T7">
        <f>LN(1+Table1[[#This Row],[Hue]])</f>
        <v>3.963982620113085</v>
      </c>
      <c r="U7">
        <f>LN(1+Table1[[#This Row],[Saturation]])</f>
        <v>4.5863748525793575</v>
      </c>
      <c r="V7">
        <f>LN(1+Table1[[#This Row],[Value]])</f>
        <v>4.2995688671017982</v>
      </c>
    </row>
    <row r="8" spans="1:23" x14ac:dyDescent="0.3">
      <c r="A8">
        <v>0</v>
      </c>
      <c r="B8">
        <v>184.28282221882901</v>
      </c>
      <c r="C8">
        <v>159.32278641506099</v>
      </c>
      <c r="D8">
        <v>4.2187949923254697</v>
      </c>
      <c r="E8">
        <v>65.860473304340701</v>
      </c>
      <c r="F8">
        <v>-3.8793222355755601</v>
      </c>
      <c r="G8">
        <v>68.565814728789505</v>
      </c>
      <c r="H8">
        <v>51.682946498013202</v>
      </c>
      <c r="I8">
        <v>97.710695472573207</v>
      </c>
      <c r="J8">
        <v>72.267773419148597</v>
      </c>
      <c r="K8" t="s">
        <v>4</v>
      </c>
      <c r="L8" s="2">
        <v>0</v>
      </c>
      <c r="M8">
        <v>0</v>
      </c>
      <c r="N8">
        <f>LN(1+Table1[[#This Row],[Redness]])</f>
        <v>5.2218834264514209</v>
      </c>
      <c r="O8">
        <f>LN(1+Table1[[#This Row],[Greeness]])</f>
        <v>5.0771891980789281</v>
      </c>
      <c r="P8">
        <f>LN(1+Table1[[#This Row],[Blueness]])</f>
        <v>1.6522665308637878</v>
      </c>
      <c r="Q8">
        <f>LN(1+Table1[[#This Row],[L* lab]])</f>
        <v>4.202607960002803</v>
      </c>
      <c r="R8">
        <f>LN(1+Table1[[#This Row],[a* lab]]+128)</f>
        <v>4.8292786936974865</v>
      </c>
      <c r="S8">
        <f>LN(1+Table1[[#This Row],[b* lab]]+128)</f>
        <v>5.2860717679624605</v>
      </c>
      <c r="T8">
        <f>LN(1+Table1[[#This Row],[Hue]])</f>
        <v>3.9642918073157505</v>
      </c>
      <c r="U8">
        <f>LN(1+Table1[[#This Row],[Saturation]])</f>
        <v>4.5921933040191307</v>
      </c>
      <c r="V8">
        <f>LN(1+Table1[[#This Row],[Value]])</f>
        <v>4.2941208589991753</v>
      </c>
    </row>
    <row r="9" spans="1:23" x14ac:dyDescent="0.3">
      <c r="A9">
        <v>0</v>
      </c>
      <c r="B9">
        <v>188.280555552088</v>
      </c>
      <c r="C9">
        <v>163.52371880425201</v>
      </c>
      <c r="D9">
        <v>9.66682929247537</v>
      </c>
      <c r="E9">
        <v>67.374574871280203</v>
      </c>
      <c r="F9">
        <v>-4.2532587495877898</v>
      </c>
      <c r="G9">
        <v>69.148016950415894</v>
      </c>
      <c r="H9">
        <v>51.6836727166693</v>
      </c>
      <c r="I9">
        <v>94.865731480274306</v>
      </c>
      <c r="J9">
        <v>73.835511981211297</v>
      </c>
      <c r="K9" t="s">
        <v>4</v>
      </c>
      <c r="L9" s="2">
        <v>0</v>
      </c>
      <c r="M9">
        <v>0</v>
      </c>
      <c r="N9">
        <f>LN(1+Table1[[#This Row],[Redness]])</f>
        <v>5.2432303353065386</v>
      </c>
      <c r="O9">
        <f>LN(1+Table1[[#This Row],[Greeness]])</f>
        <v>5.103054747071333</v>
      </c>
      <c r="P9">
        <f>LN(1+Table1[[#This Row],[Blueness]])</f>
        <v>2.3671388601849612</v>
      </c>
      <c r="Q9">
        <f>LN(1+Table1[[#This Row],[L* lab]])</f>
        <v>4.2250010431181391</v>
      </c>
      <c r="R9">
        <f>LN(1+Table1[[#This Row],[a* lab]]+128)</f>
        <v>4.8262856120492517</v>
      </c>
      <c r="S9">
        <f>LN(1+Table1[[#This Row],[b* lab]]+128)</f>
        <v>5.2890143117661079</v>
      </c>
      <c r="T9">
        <f>LN(1+Table1[[#This Row],[Hue]])</f>
        <v>3.9643055919215682</v>
      </c>
      <c r="U9">
        <f>LN(1+Table1[[#This Row],[Saturation]])</f>
        <v>4.562948582057567</v>
      </c>
      <c r="V9">
        <f>LN(1+Table1[[#This Row],[Value]])</f>
        <v>4.3152925314250865</v>
      </c>
    </row>
    <row r="10" spans="1:23" x14ac:dyDescent="0.3">
      <c r="A10">
        <v>0</v>
      </c>
      <c r="B10">
        <v>184.278222218829</v>
      </c>
      <c r="C10">
        <v>159.32227530406499</v>
      </c>
      <c r="D10">
        <v>4.18995118984963</v>
      </c>
      <c r="E10">
        <v>65.859863853010296</v>
      </c>
      <c r="F10">
        <v>-3.88143515567192</v>
      </c>
      <c r="G10">
        <v>68.568695222485999</v>
      </c>
      <c r="H10">
        <v>51.685428449447102</v>
      </c>
      <c r="I10">
        <v>97.726290638470502</v>
      </c>
      <c r="J10">
        <v>72.265969497580002</v>
      </c>
      <c r="K10" t="s">
        <v>4</v>
      </c>
      <c r="L10" s="2">
        <v>0</v>
      </c>
      <c r="M10">
        <v>0</v>
      </c>
      <c r="N10">
        <f>LN(1+Table1[[#This Row],[Redness]])</f>
        <v>5.2218585992329674</v>
      </c>
      <c r="O10">
        <f>LN(1+Table1[[#This Row],[Greeness]])</f>
        <v>5.0771860100616655</v>
      </c>
      <c r="P10">
        <f>LN(1+Table1[[#This Row],[Blueness]])</f>
        <v>1.6467242924803227</v>
      </c>
      <c r="Q10">
        <f>LN(1+Table1[[#This Row],[L* lab]])</f>
        <v>4.2025988446903026</v>
      </c>
      <c r="R10">
        <f>LN(1+Table1[[#This Row],[a* lab]]+128)</f>
        <v>4.8292618064972661</v>
      </c>
      <c r="S10">
        <f>LN(1+Table1[[#This Row],[b* lab]]+128)</f>
        <v>5.2860863477757842</v>
      </c>
      <c r="T10">
        <f>LN(1+Table1[[#This Row],[Hue]])</f>
        <v>3.9643389173036496</v>
      </c>
      <c r="U10">
        <f>LN(1+Table1[[#This Row],[Saturation]])</f>
        <v>4.5923512801535615</v>
      </c>
      <c r="V10">
        <f>LN(1+Table1[[#This Row],[Value]])</f>
        <v>4.2940962377545011</v>
      </c>
    </row>
    <row r="11" spans="1:23" x14ac:dyDescent="0.3">
      <c r="A11">
        <v>0</v>
      </c>
      <c r="B11">
        <v>190.645733329823</v>
      </c>
      <c r="C11">
        <v>165.72036275501</v>
      </c>
      <c r="D11">
        <v>10.653496221388901</v>
      </c>
      <c r="E11">
        <v>68.186862905385098</v>
      </c>
      <c r="F11">
        <v>-4.3482307232941197</v>
      </c>
      <c r="G11">
        <v>69.723986729408395</v>
      </c>
      <c r="H11">
        <v>51.691184805999001</v>
      </c>
      <c r="I11">
        <v>94.411888461748006</v>
      </c>
      <c r="J11">
        <v>74.763032678361895</v>
      </c>
      <c r="K11" t="s">
        <v>4</v>
      </c>
      <c r="L11" s="2">
        <v>0</v>
      </c>
      <c r="M11">
        <v>0</v>
      </c>
      <c r="N11">
        <f>LN(1+Table1[[#This Row],[Redness]])</f>
        <v>5.2556485287549659</v>
      </c>
      <c r="O11">
        <f>LN(1+Table1[[#This Row],[Greeness]])</f>
        <v>5.1163179343964282</v>
      </c>
      <c r="P11">
        <f>LN(1+Table1[[#This Row],[Blueness]])</f>
        <v>2.4556062398295082</v>
      </c>
      <c r="Q11">
        <f>LN(1+Table1[[#This Row],[L* lab]])</f>
        <v>4.2368110021935435</v>
      </c>
      <c r="R11">
        <f>LN(1+Table1[[#This Row],[a* lab]]+128)</f>
        <v>4.8255240038255591</v>
      </c>
      <c r="S11">
        <f>LN(1+Table1[[#This Row],[b* lab]]+128)</f>
        <v>5.2919168605879987</v>
      </c>
      <c r="T11">
        <f>LN(1+Table1[[#This Row],[Hue]])</f>
        <v>3.9644481703225081</v>
      </c>
      <c r="U11">
        <f>LN(1+Table1[[#This Row],[Saturation]])</f>
        <v>4.5582031876896423</v>
      </c>
      <c r="V11">
        <f>LN(1+Table1[[#This Row],[Value]])</f>
        <v>4.3276104781500555</v>
      </c>
    </row>
    <row r="12" spans="1:23" x14ac:dyDescent="0.3">
      <c r="A12">
        <v>0</v>
      </c>
      <c r="B12">
        <v>187.94151110765</v>
      </c>
      <c r="C12">
        <v>163.271429972064</v>
      </c>
      <c r="D12">
        <v>9.3651248963162796</v>
      </c>
      <c r="E12">
        <v>67.274574594761603</v>
      </c>
      <c r="F12">
        <v>-4.2748778590508598</v>
      </c>
      <c r="G12">
        <v>69.098627005959997</v>
      </c>
      <c r="H12">
        <v>51.711082861854798</v>
      </c>
      <c r="I12">
        <v>95.017000320407007</v>
      </c>
      <c r="J12">
        <v>73.702553375549201</v>
      </c>
      <c r="K12" t="s">
        <v>4</v>
      </c>
      <c r="L12" s="2">
        <v>0</v>
      </c>
      <c r="M12">
        <v>0</v>
      </c>
      <c r="N12">
        <f>LN(1+Table1[[#This Row],[Redness]])</f>
        <v>5.2414375021265673</v>
      </c>
      <c r="O12">
        <f>LN(1+Table1[[#This Row],[Greeness]])</f>
        <v>5.1015201205256542</v>
      </c>
      <c r="P12">
        <f>LN(1+Table1[[#This Row],[Blueness]])</f>
        <v>2.3384467956285819</v>
      </c>
      <c r="Q12">
        <f>LN(1+Table1[[#This Row],[L* lab]])</f>
        <v>4.2235374365789013</v>
      </c>
      <c r="R12">
        <f>LN(1+Table1[[#This Row],[a* lab]]+128)</f>
        <v>4.8261122930286353</v>
      </c>
      <c r="S12">
        <f>LN(1+Table1[[#This Row],[b* lab]]+128)</f>
        <v>5.2887650228675644</v>
      </c>
      <c r="T12">
        <f>LN(1+Table1[[#This Row],[Hue]])</f>
        <v>3.9648257344211264</v>
      </c>
      <c r="U12">
        <f>LN(1+Table1[[#This Row],[Saturation]])</f>
        <v>4.5645252624607489</v>
      </c>
      <c r="V12">
        <f>LN(1+Table1[[#This Row],[Value]])</f>
        <v>4.313514273288849</v>
      </c>
    </row>
    <row r="13" spans="1:23" x14ac:dyDescent="0.3">
      <c r="A13">
        <v>0</v>
      </c>
      <c r="B13">
        <v>185.910755552132</v>
      </c>
      <c r="C13">
        <v>161.49934148144499</v>
      </c>
      <c r="D13">
        <v>8.7493163799753599</v>
      </c>
      <c r="E13">
        <v>66.606251451169996</v>
      </c>
      <c r="F13">
        <v>-4.2512203585677399</v>
      </c>
      <c r="G13">
        <v>68.592825579056495</v>
      </c>
      <c r="H13">
        <v>51.732485065116698</v>
      </c>
      <c r="I13">
        <v>95.293808389949803</v>
      </c>
      <c r="J13">
        <v>72.906178647895004</v>
      </c>
      <c r="K13" t="s">
        <v>4</v>
      </c>
      <c r="L13" s="2">
        <v>0</v>
      </c>
      <c r="M13">
        <v>0</v>
      </c>
      <c r="N13">
        <f>LN(1+Table1[[#This Row],[Redness]])</f>
        <v>5.2306312599011555</v>
      </c>
      <c r="O13">
        <f>LN(1+Table1[[#This Row],[Greeness]])</f>
        <v>5.0906739493397044</v>
      </c>
      <c r="P13">
        <f>LN(1+Table1[[#This Row],[Blueness]])</f>
        <v>2.2771971676772709</v>
      </c>
      <c r="Q13">
        <f>LN(1+Table1[[#This Row],[L* lab]])</f>
        <v>4.2137004558614892</v>
      </c>
      <c r="R13">
        <f>LN(1+Table1[[#This Row],[a* lab]]+128)</f>
        <v>4.8263019521503709</v>
      </c>
      <c r="S13">
        <f>LN(1+Table1[[#This Row],[b* lab]]+128)</f>
        <v>5.2862084768563262</v>
      </c>
      <c r="T13">
        <f>LN(1+Table1[[#This Row],[Hue]])</f>
        <v>3.96523168053954</v>
      </c>
      <c r="U13">
        <f>LN(1+Table1[[#This Row],[Saturation]])</f>
        <v>4.5674040217209688</v>
      </c>
      <c r="V13">
        <f>LN(1+Table1[[#This Row],[Value]])</f>
        <v>4.3027964326850965</v>
      </c>
    </row>
    <row r="14" spans="1:23" x14ac:dyDescent="0.3">
      <c r="A14">
        <v>0</v>
      </c>
      <c r="B14">
        <v>185.676799996581</v>
      </c>
      <c r="C14">
        <v>161.31409707863301</v>
      </c>
      <c r="D14">
        <v>7.92906796935267</v>
      </c>
      <c r="E14">
        <v>66.532888489605497</v>
      </c>
      <c r="F14">
        <v>-4.2675312146441504</v>
      </c>
      <c r="G14">
        <v>68.636134170580704</v>
      </c>
      <c r="H14">
        <v>51.776197882215897</v>
      </c>
      <c r="I14">
        <v>95.729639906817198</v>
      </c>
      <c r="J14">
        <v>72.8144313712083</v>
      </c>
      <c r="K14" t="s">
        <v>4</v>
      </c>
      <c r="L14" s="2">
        <v>0</v>
      </c>
      <c r="M14">
        <v>0</v>
      </c>
      <c r="N14">
        <f>LN(1+Table1[[#This Row],[Redness]])</f>
        <v>5.2293787792836399</v>
      </c>
      <c r="O14">
        <f>LN(1+Table1[[#This Row],[Greeness]])</f>
        <v>5.0895333289040661</v>
      </c>
      <c r="P14">
        <f>LN(1+Table1[[#This Row],[Blueness]])</f>
        <v>2.18931201870822</v>
      </c>
      <c r="Q14">
        <f>LN(1+Table1[[#This Row],[L* lab]])</f>
        <v>4.2126147161001812</v>
      </c>
      <c r="R14">
        <f>LN(1+Table1[[#This Row],[a* lab]]+128)</f>
        <v>4.826171193977542</v>
      </c>
      <c r="S14">
        <f>LN(1+Table1[[#This Row],[b* lab]]+128)</f>
        <v>5.2864276338316909</v>
      </c>
      <c r="T14">
        <f>LN(1+Table1[[#This Row],[Hue]])</f>
        <v>3.966060291387087</v>
      </c>
      <c r="U14">
        <f>LN(1+Table1[[#This Row],[Saturation]])</f>
        <v>4.5719198695246215</v>
      </c>
      <c r="V14">
        <f>LN(1+Table1[[#This Row],[Value]])</f>
        <v>4.3015542595249405</v>
      </c>
    </row>
    <row r="15" spans="1:23" x14ac:dyDescent="0.3">
      <c r="A15">
        <v>0</v>
      </c>
      <c r="B15">
        <v>189.56519999650899</v>
      </c>
      <c r="C15">
        <v>165.01529624680401</v>
      </c>
      <c r="D15">
        <v>10.363724892972099</v>
      </c>
      <c r="E15">
        <v>67.895874660310398</v>
      </c>
      <c r="F15">
        <v>-4.4604575710273799</v>
      </c>
      <c r="G15">
        <v>69.498966468797306</v>
      </c>
      <c r="H15">
        <v>51.780233817097297</v>
      </c>
      <c r="I15">
        <v>94.532896917175194</v>
      </c>
      <c r="J15">
        <v>74.339294116278197</v>
      </c>
      <c r="K15" t="s">
        <v>4</v>
      </c>
      <c r="L15" s="2">
        <v>0</v>
      </c>
      <c r="M15">
        <v>0</v>
      </c>
      <c r="N15">
        <f>LN(1+Table1[[#This Row],[Redness]])</f>
        <v>5.2499943932096436</v>
      </c>
      <c r="O15">
        <f>LN(1+Table1[[#This Row],[Greeness]])</f>
        <v>5.1120799301764395</v>
      </c>
      <c r="P15">
        <f>LN(1+Table1[[#This Row],[Blueness]])</f>
        <v>2.4304262550551288</v>
      </c>
      <c r="Q15">
        <f>LN(1+Table1[[#This Row],[L* lab]])</f>
        <v>4.2325963019209851</v>
      </c>
      <c r="R15">
        <f>LN(1+Table1[[#This Row],[a* lab]]+128)</f>
        <v>4.8246232753486904</v>
      </c>
      <c r="S15">
        <f>LN(1+Table1[[#This Row],[b* lab]]+128)</f>
        <v>5.2907838934073794</v>
      </c>
      <c r="T15">
        <f>LN(1+Table1[[#This Row],[Hue]])</f>
        <v>3.9661367610975233</v>
      </c>
      <c r="U15">
        <f>LN(1+Table1[[#This Row],[Saturation]])</f>
        <v>4.5594706585073128</v>
      </c>
      <c r="V15">
        <f>LN(1+Table1[[#This Row],[Value]])</f>
        <v>4.3220018329112451</v>
      </c>
    </row>
    <row r="16" spans="1:23" x14ac:dyDescent="0.3">
      <c r="A16">
        <v>0</v>
      </c>
      <c r="B16">
        <v>185.54324444102801</v>
      </c>
      <c r="C16">
        <v>161.45191926988099</v>
      </c>
      <c r="D16">
        <v>4.7588496391439303</v>
      </c>
      <c r="E16">
        <v>66.552030280923404</v>
      </c>
      <c r="F16">
        <v>-4.4391054344529701</v>
      </c>
      <c r="G16">
        <v>69.054248482802095</v>
      </c>
      <c r="H16">
        <v>52.004401088640002</v>
      </c>
      <c r="I16">
        <v>97.435180324952995</v>
      </c>
      <c r="J16">
        <v>72.762056643540404</v>
      </c>
      <c r="K16" t="s">
        <v>4</v>
      </c>
      <c r="L16" s="2">
        <v>0</v>
      </c>
      <c r="M16">
        <v>0</v>
      </c>
      <c r="N16">
        <f>LN(1+Table1[[#This Row],[Redness]])</f>
        <v>5.2286630858837579</v>
      </c>
      <c r="O16">
        <f>LN(1+Table1[[#This Row],[Greeness]])</f>
        <v>5.0903820765721326</v>
      </c>
      <c r="P16">
        <f>LN(1+Table1[[#This Row],[Blueness]])</f>
        <v>1.7507377393356174</v>
      </c>
      <c r="Q16">
        <f>LN(1+Table1[[#This Row],[L* lab]])</f>
        <v>4.2128981199267557</v>
      </c>
      <c r="R16">
        <f>LN(1+Table1[[#This Row],[a* lab]]+128)</f>
        <v>4.8247947093042809</v>
      </c>
      <c r="S16">
        <f>LN(1+Table1[[#This Row],[b* lab]]+128)</f>
        <v>5.2885409754046311</v>
      </c>
      <c r="T16">
        <f>LN(1+Table1[[#This Row],[Hue]])</f>
        <v>3.9703749495128431</v>
      </c>
      <c r="U16">
        <f>LN(1+Table1[[#This Row],[Saturation]])</f>
        <v>4.5893982637894357</v>
      </c>
      <c r="V16">
        <f>LN(1+Table1[[#This Row],[Value]])</f>
        <v>4.3008444617709571</v>
      </c>
    </row>
    <row r="17" spans="1:23" x14ac:dyDescent="0.3">
      <c r="A17">
        <v>0</v>
      </c>
      <c r="B17">
        <v>191.08548888537001</v>
      </c>
      <c r="C17">
        <v>167.82696228155999</v>
      </c>
      <c r="D17">
        <v>12.8267145193318</v>
      </c>
      <c r="E17">
        <v>68.793568979792695</v>
      </c>
      <c r="F17">
        <v>-5.2358083292689201</v>
      </c>
      <c r="G17">
        <v>69.901252136316103</v>
      </c>
      <c r="H17">
        <v>52.171428300280603</v>
      </c>
      <c r="I17">
        <v>93.287447103308594</v>
      </c>
      <c r="J17">
        <v>74.935485837400194</v>
      </c>
      <c r="K17" t="s">
        <v>4</v>
      </c>
      <c r="L17" s="2">
        <v>0</v>
      </c>
      <c r="M17">
        <v>0</v>
      </c>
      <c r="N17">
        <f>LN(1+Table1[[#This Row],[Redness]])</f>
        <v>5.2579405275426634</v>
      </c>
      <c r="O17">
        <f>LN(1+Table1[[#This Row],[Greeness]])</f>
        <v>5.1288742985626747</v>
      </c>
      <c r="P17">
        <f>LN(1+Table1[[#This Row],[Blueness]])</f>
        <v>2.626602555583935</v>
      </c>
      <c r="Q17">
        <f>LN(1+Table1[[#This Row],[L* lab]])</f>
        <v>4.2455418705636507</v>
      </c>
      <c r="R17">
        <f>LN(1+Table1[[#This Row],[a* lab]]+128)</f>
        <v>4.8183780750410561</v>
      </c>
      <c r="S17">
        <f>LN(1+Table1[[#This Row],[b* lab]]+128)</f>
        <v>5.2928084811458733</v>
      </c>
      <c r="T17">
        <f>LN(1+Table1[[#This Row],[Hue]])</f>
        <v>3.973521190053332</v>
      </c>
      <c r="U17">
        <f>LN(1+Table1[[#This Row],[Saturation]])</f>
        <v>4.5463480641647021</v>
      </c>
      <c r="V17">
        <f>LN(1+Table1[[#This Row],[Value]])</f>
        <v>4.3298841092311697</v>
      </c>
    </row>
    <row r="18" spans="1:23" x14ac:dyDescent="0.3">
      <c r="A18">
        <v>1</v>
      </c>
      <c r="B18">
        <v>188.62108889999999</v>
      </c>
      <c r="C18">
        <v>143.3713678</v>
      </c>
      <c r="D18">
        <v>3.7008676309999999</v>
      </c>
      <c r="E18">
        <v>62.115384489999997</v>
      </c>
      <c r="F18">
        <v>6.7017823449999998</v>
      </c>
      <c r="G18">
        <v>66.16306041</v>
      </c>
      <c r="H18">
        <v>45.318083399999999</v>
      </c>
      <c r="I18">
        <v>98.037935390000001</v>
      </c>
      <c r="J18">
        <v>73.969054459999995</v>
      </c>
      <c r="K18" t="s">
        <v>4</v>
      </c>
      <c r="L18" s="1">
        <v>2.7400000000000001E-2</v>
      </c>
      <c r="M18">
        <v>0</v>
      </c>
      <c r="N18">
        <f>LN(1+Table1[[#This Row],[Redness]])</f>
        <v>5.2450278120110321</v>
      </c>
      <c r="O18">
        <f>LN(1+Table1[[#This Row],[Greeness]])</f>
        <v>4.9723889228643499</v>
      </c>
      <c r="P18">
        <f>LN(1+Table1[[#This Row],[Blueness]])</f>
        <v>1.547747094019523</v>
      </c>
      <c r="Q18">
        <f>LN(1+Table1[[#This Row],[L* lab]])</f>
        <v>4.1449645510820154</v>
      </c>
      <c r="R18">
        <f>LN(1+Table1[[#This Row],[a* lab]]+128)</f>
        <v>4.9104597012055624</v>
      </c>
      <c r="S18">
        <f>LN(1+Table1[[#This Row],[b* lab]]+128)</f>
        <v>5.2738354163680317</v>
      </c>
      <c r="T18">
        <f>LN(1+Table1[[#This Row],[Hue]])</f>
        <v>3.8355324550338885</v>
      </c>
      <c r="U18">
        <f>LN(1+Table1[[#This Row],[Saturation]])</f>
        <v>4.5955029624952521</v>
      </c>
      <c r="V18">
        <f>LN(1+Table1[[#This Row],[Value]])</f>
        <v>4.3170754211905376</v>
      </c>
      <c r="W18" t="s">
        <v>26</v>
      </c>
    </row>
    <row r="19" spans="1:23" x14ac:dyDescent="0.3">
      <c r="A19">
        <v>1</v>
      </c>
      <c r="B19">
        <v>183.513599996621</v>
      </c>
      <c r="C19">
        <v>140.14201294808601</v>
      </c>
      <c r="D19">
        <v>3.15086320543488</v>
      </c>
      <c r="E19">
        <v>60.7261881543523</v>
      </c>
      <c r="F19">
        <v>6.1570585482219098</v>
      </c>
      <c r="G19">
        <v>65.008149795488293</v>
      </c>
      <c r="H19">
        <v>45.571879928142401</v>
      </c>
      <c r="I19">
        <v>98.283035586739601</v>
      </c>
      <c r="J19">
        <v>71.966117645733704</v>
      </c>
      <c r="K19" t="s">
        <v>4</v>
      </c>
      <c r="L19" s="2">
        <v>2.7400000000000001E-2</v>
      </c>
      <c r="M19">
        <v>0</v>
      </c>
      <c r="N19">
        <f>LN(1+Table1[[#This Row],[Redness]])</f>
        <v>5.2177231734827458</v>
      </c>
      <c r="O19">
        <f>LN(1+Table1[[#This Row],[Greeness]])</f>
        <v>4.9497665675376252</v>
      </c>
      <c r="P19">
        <f>LN(1+Table1[[#This Row],[Blueness]])</f>
        <v>1.4233163139229434</v>
      </c>
      <c r="Q19">
        <f>LN(1+Table1[[#This Row],[L* lab]])</f>
        <v>4.1227082842051912</v>
      </c>
      <c r="R19">
        <f>LN(1+Table1[[#This Row],[a* lab]]+128)</f>
        <v>4.9064374988704635</v>
      </c>
      <c r="S19">
        <f>LN(1+Table1[[#This Row],[b* lab]]+128)</f>
        <v>5.2679001674360588</v>
      </c>
      <c r="T19">
        <f>LN(1+Table1[[#This Row],[Hue]])</f>
        <v>3.8409969239730093</v>
      </c>
      <c r="U19">
        <f>LN(1+Table1[[#This Row],[Saturation]])</f>
        <v>4.5979747164436171</v>
      </c>
      <c r="V19">
        <f>LN(1+Table1[[#This Row],[Value]])</f>
        <v>4.2899951915619621</v>
      </c>
    </row>
    <row r="20" spans="1:23" x14ac:dyDescent="0.3">
      <c r="A20">
        <v>1</v>
      </c>
      <c r="B20">
        <v>186.68551110767299</v>
      </c>
      <c r="C20">
        <v>143.56050106868301</v>
      </c>
      <c r="D20">
        <v>5.4958776797573599</v>
      </c>
      <c r="E20">
        <v>61.957640541424702</v>
      </c>
      <c r="F20">
        <v>5.74725444637214</v>
      </c>
      <c r="G20">
        <v>65.688141015055095</v>
      </c>
      <c r="H20">
        <v>45.719378347499102</v>
      </c>
      <c r="I20">
        <v>97.056077010396606</v>
      </c>
      <c r="J20">
        <v>73.210004355950403</v>
      </c>
      <c r="K20" t="s">
        <v>4</v>
      </c>
      <c r="L20" s="2">
        <v>2.7400000000000001E-2</v>
      </c>
      <c r="M20">
        <v>0</v>
      </c>
      <c r="N20">
        <f>LN(1+Table1[[#This Row],[Redness]])</f>
        <v>5.2347677488584869</v>
      </c>
      <c r="O20">
        <f>LN(1+Table1[[#This Row],[Greeness]])</f>
        <v>4.9736981124420705</v>
      </c>
      <c r="P20">
        <f>LN(1+Table1[[#This Row],[Blueness]])</f>
        <v>1.8711677725954752</v>
      </c>
      <c r="Q20">
        <f>LN(1+Table1[[#This Row],[L* lab]])</f>
        <v>4.1424621278895266</v>
      </c>
      <c r="R20">
        <f>LN(1+Table1[[#This Row],[a* lab]]+128)</f>
        <v>4.9034008344154607</v>
      </c>
      <c r="S20">
        <f>LN(1+Table1[[#This Row],[b* lab]]+128)</f>
        <v>5.2713990015095398</v>
      </c>
      <c r="T20">
        <f>LN(1+Table1[[#This Row],[Hue]])</f>
        <v>3.8441590325131916</v>
      </c>
      <c r="U20">
        <f>LN(1+Table1[[#This Row],[Saturation]])</f>
        <v>4.5855395294101458</v>
      </c>
      <c r="V20">
        <f>LN(1+Table1[[#This Row],[Value]])</f>
        <v>4.3068989706796605</v>
      </c>
    </row>
    <row r="21" spans="1:23" x14ac:dyDescent="0.3">
      <c r="A21">
        <v>1</v>
      </c>
      <c r="B21">
        <v>187.44288890000001</v>
      </c>
      <c r="C21">
        <v>144.06538979999999</v>
      </c>
      <c r="D21">
        <v>4.6745431819999999</v>
      </c>
      <c r="E21">
        <v>62.166731159999998</v>
      </c>
      <c r="F21">
        <v>5.8078783979999997</v>
      </c>
      <c r="G21">
        <v>65.999953880000007</v>
      </c>
      <c r="H21">
        <v>45.759842970000001</v>
      </c>
      <c r="I21">
        <v>97.506150689999998</v>
      </c>
      <c r="J21">
        <v>73.507015249999995</v>
      </c>
      <c r="K21" t="s">
        <v>4</v>
      </c>
      <c r="L21" s="1">
        <v>2.7400000000000001E-2</v>
      </c>
      <c r="M21">
        <v>0</v>
      </c>
      <c r="N21">
        <f>LN(1+Table1[[#This Row],[Redness]])</f>
        <v>5.2387949843235404</v>
      </c>
      <c r="O21">
        <f>LN(1+Table1[[#This Row],[Greeness]])</f>
        <v>4.977184604904739</v>
      </c>
      <c r="P21">
        <f>LN(1+Table1[[#This Row],[Blueness]])</f>
        <v>1.7359900635635674</v>
      </c>
      <c r="Q21">
        <f>LN(1+Table1[[#This Row],[L* lab]])</f>
        <v>4.1457777568564884</v>
      </c>
      <c r="R21">
        <f>LN(1+Table1[[#This Row],[a* lab]]+128)</f>
        <v>4.9038506418593801</v>
      </c>
      <c r="S21">
        <f>LN(1+Table1[[#This Row],[b* lab]]+128)</f>
        <v>5.2729993220508984</v>
      </c>
      <c r="T21">
        <f>LN(1+Table1[[#This Row],[Hue]])</f>
        <v>3.8450247783860818</v>
      </c>
      <c r="U21">
        <f>LN(1+Table1[[#This Row],[Saturation]])</f>
        <v>4.5901189897818249</v>
      </c>
      <c r="V21">
        <f>LN(1+Table1[[#This Row],[Value]])</f>
        <v>4.3108932853818525</v>
      </c>
      <c r="W21" t="s">
        <v>26</v>
      </c>
    </row>
    <row r="22" spans="1:23" x14ac:dyDescent="0.3">
      <c r="A22">
        <v>1</v>
      </c>
      <c r="B22">
        <v>187.797155552097</v>
      </c>
      <c r="C22">
        <v>144.79712301297999</v>
      </c>
      <c r="D22">
        <v>6.2636828131512496</v>
      </c>
      <c r="E22">
        <v>62.398155440755403</v>
      </c>
      <c r="F22">
        <v>5.58248255366391</v>
      </c>
      <c r="G22">
        <v>65.943923161155297</v>
      </c>
      <c r="H22">
        <v>45.787734276106598</v>
      </c>
      <c r="I22">
        <v>96.664655119649197</v>
      </c>
      <c r="J22">
        <v>73.645943353763798</v>
      </c>
      <c r="K22" t="s">
        <v>4</v>
      </c>
      <c r="L22" s="2">
        <v>2.7400000000000001E-2</v>
      </c>
      <c r="M22">
        <v>0</v>
      </c>
      <c r="N22">
        <f>LN(1+Table1[[#This Row],[Redness]])</f>
        <v>5.2406731876662187</v>
      </c>
      <c r="O22">
        <f>LN(1+Table1[[#This Row],[Greeness]])</f>
        <v>4.9822160869586085</v>
      </c>
      <c r="P22">
        <f>LN(1+Table1[[#This Row],[Blueness]])</f>
        <v>1.9828869747552109</v>
      </c>
      <c r="Q22">
        <f>LN(1+Table1[[#This Row],[L* lab]])</f>
        <v>4.1494347670255474</v>
      </c>
      <c r="R22">
        <f>LN(1+Table1[[#This Row],[a* lab]]+128)</f>
        <v>4.9021772642660926</v>
      </c>
      <c r="S22">
        <f>LN(1+Table1[[#This Row],[b* lab]]+128)</f>
        <v>5.2727119436740129</v>
      </c>
      <c r="T22">
        <f>LN(1+Table1[[#This Row],[Hue]])</f>
        <v>3.8456210804551278</v>
      </c>
      <c r="U22">
        <f>LN(1+Table1[[#This Row],[Saturation]])</f>
        <v>4.581539724092309</v>
      </c>
      <c r="V22">
        <f>LN(1+Table1[[#This Row],[Value]])</f>
        <v>4.3127561802951293</v>
      </c>
    </row>
    <row r="23" spans="1:23" x14ac:dyDescent="0.3">
      <c r="A23">
        <v>1</v>
      </c>
      <c r="B23">
        <v>186.06153332990701</v>
      </c>
      <c r="C23">
        <v>142.98327897618901</v>
      </c>
      <c r="D23">
        <v>4.1186861093103202</v>
      </c>
      <c r="E23">
        <v>61.738462593157799</v>
      </c>
      <c r="F23">
        <v>5.7644596931918297</v>
      </c>
      <c r="G23">
        <v>65.703841210039002</v>
      </c>
      <c r="H23">
        <v>45.793916602342499</v>
      </c>
      <c r="I23">
        <v>97.786384947173602</v>
      </c>
      <c r="J23">
        <v>72.965307188198906</v>
      </c>
      <c r="K23" t="s">
        <v>4</v>
      </c>
      <c r="L23" s="2">
        <v>2.7400000000000001E-2</v>
      </c>
      <c r="M23">
        <v>0</v>
      </c>
      <c r="N23">
        <f>LN(1+Table1[[#This Row],[Redness]])</f>
        <v>5.2314376179679289</v>
      </c>
      <c r="O23">
        <f>LN(1+Table1[[#This Row],[Greeness]])</f>
        <v>4.9696971746128487</v>
      </c>
      <c r="P23">
        <f>LN(1+Table1[[#This Row],[Blueness]])</f>
        <v>1.632897786843728</v>
      </c>
      <c r="Q23">
        <f>LN(1+Table1[[#This Row],[L* lab]])</f>
        <v>4.138974698049763</v>
      </c>
      <c r="R23">
        <f>LN(1+Table1[[#This Row],[a* lab]]+128)</f>
        <v>4.9035285115882168</v>
      </c>
      <c r="S23">
        <f>LN(1+Table1[[#This Row],[b* lab]]+128)</f>
        <v>5.2714796410486633</v>
      </c>
      <c r="T23">
        <f>LN(1+Table1[[#This Row],[Hue]])</f>
        <v>3.8457532073451084</v>
      </c>
      <c r="U23">
        <f>LN(1+Table1[[#This Row],[Saturation]])</f>
        <v>4.592959791079549</v>
      </c>
      <c r="V23">
        <f>LN(1+Table1[[#This Row],[Value]])</f>
        <v>4.3035961614917824</v>
      </c>
    </row>
    <row r="24" spans="1:23" x14ac:dyDescent="0.3">
      <c r="A24">
        <v>1</v>
      </c>
      <c r="B24">
        <v>188.088355552092</v>
      </c>
      <c r="C24">
        <v>145.08832294753401</v>
      </c>
      <c r="D24">
        <v>6.4613673022306699</v>
      </c>
      <c r="E24">
        <v>62.504893297566298</v>
      </c>
      <c r="F24">
        <v>5.5572216216352803</v>
      </c>
      <c r="G24">
        <v>66.006710298957401</v>
      </c>
      <c r="H24">
        <v>45.795051819478303</v>
      </c>
      <c r="I24">
        <v>96.564717000547503</v>
      </c>
      <c r="J24">
        <v>73.7601394321931</v>
      </c>
      <c r="K24" t="s">
        <v>4</v>
      </c>
      <c r="L24" s="2">
        <v>2.7400000000000001E-2</v>
      </c>
      <c r="M24">
        <v>0</v>
      </c>
      <c r="N24">
        <f>LN(1+Table1[[#This Row],[Redness]])</f>
        <v>5.2422143955139884</v>
      </c>
      <c r="O24">
        <f>LN(1+Table1[[#This Row],[Greeness]])</f>
        <v>4.984211390494262</v>
      </c>
      <c r="P24">
        <f>LN(1+Table1[[#This Row],[Blueness]])</f>
        <v>2.0097386819024439</v>
      </c>
      <c r="Q24">
        <f>LN(1+Table1[[#This Row],[L* lab]])</f>
        <v>4.1511169627338855</v>
      </c>
      <c r="R24">
        <f>LN(1+Table1[[#This Row],[a* lab]]+128)</f>
        <v>4.9019895481342033</v>
      </c>
      <c r="S24">
        <f>LN(1+Table1[[#This Row],[b* lab]]+128)</f>
        <v>5.2730339697612001</v>
      </c>
      <c r="T24">
        <f>LN(1+Table1[[#This Row],[Hue]])</f>
        <v>3.8457774669807256</v>
      </c>
      <c r="U24">
        <f>LN(1+Table1[[#This Row],[Saturation]])</f>
        <v>4.5805159219180176</v>
      </c>
      <c r="V24">
        <f>LN(1+Table1[[#This Row],[Value]])</f>
        <v>4.314284847649736</v>
      </c>
    </row>
    <row r="25" spans="1:23" x14ac:dyDescent="0.3">
      <c r="A25">
        <v>1</v>
      </c>
      <c r="B25">
        <v>188.34415555208699</v>
      </c>
      <c r="C25">
        <v>145.34412289004399</v>
      </c>
      <c r="D25">
        <v>6.3305035481626897</v>
      </c>
      <c r="E25">
        <v>62.598072458175899</v>
      </c>
      <c r="F25">
        <v>5.5313254757682202</v>
      </c>
      <c r="G25">
        <v>66.105194719889298</v>
      </c>
      <c r="H25">
        <v>45.825228320417501</v>
      </c>
      <c r="I25">
        <v>96.638863823723995</v>
      </c>
      <c r="J25">
        <v>73.860453157681405</v>
      </c>
      <c r="K25" t="s">
        <v>4</v>
      </c>
      <c r="L25" s="2">
        <v>2.7400000000000001E-2</v>
      </c>
      <c r="M25">
        <v>0</v>
      </c>
      <c r="N25">
        <f>LN(1+Table1[[#This Row],[Redness]])</f>
        <v>5.2435662880255869</v>
      </c>
      <c r="O25">
        <f>LN(1+Table1[[#This Row],[Greeness]])</f>
        <v>4.9859608544227232</v>
      </c>
      <c r="P25">
        <f>LN(1+Table1[[#This Row],[Blueness]])</f>
        <v>1.9920442104234424</v>
      </c>
      <c r="Q25">
        <f>LN(1+Table1[[#This Row],[L* lab]])</f>
        <v>4.152583162625417</v>
      </c>
      <c r="R25">
        <f>LN(1+Table1[[#This Row],[a* lab]]+128)</f>
        <v>4.9017970750897248</v>
      </c>
      <c r="S25">
        <f>LN(1+Table1[[#This Row],[b* lab]]+128)</f>
        <v>5.2735388732094517</v>
      </c>
      <c r="T25">
        <f>LN(1+Table1[[#This Row],[Hue]])</f>
        <v>3.8464221243549437</v>
      </c>
      <c r="U25">
        <f>LN(1+Table1[[#This Row],[Saturation]])</f>
        <v>4.5812756090756963</v>
      </c>
      <c r="V25">
        <f>LN(1+Table1[[#This Row],[Value]])</f>
        <v>4.3156257558600641</v>
      </c>
    </row>
    <row r="26" spans="1:23" x14ac:dyDescent="0.3">
      <c r="A26">
        <v>1</v>
      </c>
      <c r="B26">
        <v>190.24066669999999</v>
      </c>
      <c r="C26">
        <v>147.030067</v>
      </c>
      <c r="D26">
        <v>6.9924388159999999</v>
      </c>
      <c r="E26">
        <v>63.242456509999997</v>
      </c>
      <c r="F26">
        <v>5.4931865369999997</v>
      </c>
      <c r="G26">
        <v>66.439864650000004</v>
      </c>
      <c r="H26">
        <v>45.851781420000002</v>
      </c>
      <c r="I26">
        <v>96.324424769999993</v>
      </c>
      <c r="J26">
        <v>74.60418301</v>
      </c>
      <c r="K26" t="s">
        <v>4</v>
      </c>
      <c r="L26" s="1">
        <v>2.7400000000000001E-2</v>
      </c>
      <c r="M26">
        <v>0</v>
      </c>
      <c r="N26">
        <f>LN(1+Table1[[#This Row],[Redness]])</f>
        <v>5.253532669947182</v>
      </c>
      <c r="O26">
        <f>LN(1+Table1[[#This Row],[Greeness]])</f>
        <v>4.9974154085362557</v>
      </c>
      <c r="P26">
        <f>LN(1+Table1[[#This Row],[Blueness]])</f>
        <v>2.0784959467458304</v>
      </c>
      <c r="Q26">
        <f>LN(1+Table1[[#This Row],[L* lab]])</f>
        <v>4.1626643084777539</v>
      </c>
      <c r="R26">
        <f>LN(1+Table1[[#This Row],[a* lab]]+128)</f>
        <v>4.9015135400412762</v>
      </c>
      <c r="S26">
        <f>LN(1+Table1[[#This Row],[b* lab]]+128)</f>
        <v>5.2752527344093352</v>
      </c>
      <c r="T26">
        <f>LN(1+Table1[[#This Row],[Hue]])</f>
        <v>3.8469890318676239</v>
      </c>
      <c r="U26">
        <f>LN(1+Table1[[#This Row],[Saturation]])</f>
        <v>4.5780499830757648</v>
      </c>
      <c r="V26">
        <f>LN(1+Table1[[#This Row],[Value]])</f>
        <v>4.3255116124748998</v>
      </c>
      <c r="W26" t="s">
        <v>26</v>
      </c>
    </row>
    <row r="27" spans="1:23" x14ac:dyDescent="0.3">
      <c r="A27">
        <v>1</v>
      </c>
      <c r="B27">
        <v>188.24444444097799</v>
      </c>
      <c r="C27">
        <v>145.24441180134201</v>
      </c>
      <c r="D27">
        <v>4.8576696619559998</v>
      </c>
      <c r="E27">
        <v>62.559095328192399</v>
      </c>
      <c r="F27">
        <v>5.52259131337747</v>
      </c>
      <c r="G27">
        <v>66.2861249699274</v>
      </c>
      <c r="H27">
        <v>45.931363035927703</v>
      </c>
      <c r="I27">
        <v>97.419488433572795</v>
      </c>
      <c r="J27">
        <v>73.821350761168006</v>
      </c>
      <c r="K27" t="s">
        <v>4</v>
      </c>
      <c r="L27" s="2">
        <v>2.7400000000000001E-2</v>
      </c>
      <c r="M27">
        <v>0</v>
      </c>
      <c r="N27">
        <f>LN(1+Table1[[#This Row],[Redness]])</f>
        <v>5.2430395362247326</v>
      </c>
      <c r="O27">
        <f>LN(1+Table1[[#This Row],[Greeness]])</f>
        <v>4.9852792754765947</v>
      </c>
      <c r="P27">
        <f>LN(1+Table1[[#This Row],[Blueness]])</f>
        <v>1.7677518558896004</v>
      </c>
      <c r="Q27">
        <f>LN(1+Table1[[#This Row],[L* lab]])</f>
        <v>4.1519701082159362</v>
      </c>
      <c r="R27">
        <f>LN(1+Table1[[#This Row],[a* lab]]+128)</f>
        <v>4.901732150092549</v>
      </c>
      <c r="S27">
        <f>LN(1+Table1[[#This Row],[b* lab]]+128)</f>
        <v>5.2744657906580068</v>
      </c>
      <c r="T27">
        <f>LN(1+Table1[[#This Row],[Hue]])</f>
        <v>3.8486861734060294</v>
      </c>
      <c r="U27">
        <f>LN(1+Table1[[#This Row],[Saturation]])</f>
        <v>4.58923883763498</v>
      </c>
      <c r="V27">
        <f>LN(1+Table1[[#This Row],[Value]])</f>
        <v>4.3151032822342898</v>
      </c>
    </row>
    <row r="28" spans="1:23" x14ac:dyDescent="0.3">
      <c r="A28">
        <v>1</v>
      </c>
      <c r="B28">
        <v>189.328711107625</v>
      </c>
      <c r="C28">
        <v>146.32867822432399</v>
      </c>
      <c r="D28">
        <v>5.8832468359660401</v>
      </c>
      <c r="E28">
        <v>62.956958771530601</v>
      </c>
      <c r="F28">
        <v>5.4323205413028504</v>
      </c>
      <c r="G28">
        <v>66.475126988782193</v>
      </c>
      <c r="H28">
        <v>45.935863918786403</v>
      </c>
      <c r="I28">
        <v>96.892575456967194</v>
      </c>
      <c r="J28">
        <v>74.246553375539193</v>
      </c>
      <c r="K28" t="s">
        <v>4</v>
      </c>
      <c r="L28" s="2">
        <v>2.7400000000000001E-2</v>
      </c>
      <c r="M28">
        <v>0</v>
      </c>
      <c r="N28">
        <f>LN(1+Table1[[#This Row],[Redness]])</f>
        <v>5.248752635794375</v>
      </c>
      <c r="O28">
        <f>LN(1+Table1[[#This Row],[Greeness]])</f>
        <v>4.9926659971479248</v>
      </c>
      <c r="P28">
        <f>LN(1+Table1[[#This Row],[Blueness]])</f>
        <v>1.9290904644564959</v>
      </c>
      <c r="Q28">
        <f>LN(1+Table1[[#This Row],[L* lab]])</f>
        <v>4.1582103379223634</v>
      </c>
      <c r="R28">
        <f>LN(1+Table1[[#This Row],[a* lab]]+128)</f>
        <v>4.9010608793963435</v>
      </c>
      <c r="S28">
        <f>LN(1+Table1[[#This Row],[b* lab]]+128)</f>
        <v>5.2754331436524291</v>
      </c>
      <c r="T28">
        <f>LN(1+Table1[[#This Row],[Hue]])</f>
        <v>3.8487820723264123</v>
      </c>
      <c r="U28">
        <f>LN(1+Table1[[#This Row],[Saturation]])</f>
        <v>4.5838707086316806</v>
      </c>
      <c r="V28">
        <f>LN(1+Table1[[#This Row],[Value]])</f>
        <v>4.320770100261611</v>
      </c>
    </row>
    <row r="29" spans="1:23" x14ac:dyDescent="0.3">
      <c r="A29">
        <v>1</v>
      </c>
      <c r="B29">
        <v>186.80319999656001</v>
      </c>
      <c r="C29">
        <v>143.972412087219</v>
      </c>
      <c r="D29">
        <v>3.4017020670275602</v>
      </c>
      <c r="E29">
        <v>62.073019547724897</v>
      </c>
      <c r="F29">
        <v>5.5491042963533399</v>
      </c>
      <c r="G29">
        <v>66.083852995937306</v>
      </c>
      <c r="H29">
        <v>45.987861039456398</v>
      </c>
      <c r="I29">
        <v>98.178991544529097</v>
      </c>
      <c r="J29">
        <v>73.256156861396207</v>
      </c>
      <c r="K29" t="s">
        <v>4</v>
      </c>
      <c r="L29" s="2">
        <v>2.7400000000000001E-2</v>
      </c>
      <c r="M29">
        <v>0</v>
      </c>
      <c r="N29">
        <f>LN(1+Table1[[#This Row],[Redness]])</f>
        <v>5.2353946060142977</v>
      </c>
      <c r="O29">
        <f>LN(1+Table1[[#This Row],[Greeness]])</f>
        <v>4.9765434628511098</v>
      </c>
      <c r="P29">
        <f>LN(1+Table1[[#This Row],[Blueness]])</f>
        <v>1.4819912995388143</v>
      </c>
      <c r="Q29">
        <f>LN(1+Table1[[#This Row],[L* lab]])</f>
        <v>4.144293095662797</v>
      </c>
      <c r="R29">
        <f>LN(1+Table1[[#This Row],[a* lab]]+128)</f>
        <v>4.9019292201188227</v>
      </c>
      <c r="S29">
        <f>LN(1+Table1[[#This Row],[b* lab]]+128)</f>
        <v>5.2734294814974181</v>
      </c>
      <c r="T29">
        <f>LN(1+Table1[[#This Row],[Hue]])</f>
        <v>3.8498892925948844</v>
      </c>
      <c r="U29">
        <f>LN(1+Table1[[#This Row],[Saturation]])</f>
        <v>4.5969262130775448</v>
      </c>
      <c r="V29">
        <f>LN(1+Table1[[#This Row],[Value]])</f>
        <v>4.3075206949372831</v>
      </c>
    </row>
    <row r="30" spans="1:23" x14ac:dyDescent="0.3">
      <c r="A30">
        <v>1</v>
      </c>
      <c r="B30">
        <v>188.374222218753</v>
      </c>
      <c r="C30">
        <v>145.668589483788</v>
      </c>
      <c r="D30">
        <v>4.2720826952045599</v>
      </c>
      <c r="E30">
        <v>62.681475597169502</v>
      </c>
      <c r="F30">
        <v>5.3426446904771403</v>
      </c>
      <c r="G30">
        <v>66.463881396915596</v>
      </c>
      <c r="H30">
        <v>46.081976175131999</v>
      </c>
      <c r="I30">
        <v>97.732129882270399</v>
      </c>
      <c r="J30">
        <v>73.872244007354396</v>
      </c>
      <c r="K30" t="s">
        <v>4</v>
      </c>
      <c r="L30" s="2">
        <v>2.7400000000000001E-2</v>
      </c>
      <c r="M30">
        <v>0</v>
      </c>
      <c r="N30">
        <f>LN(1+Table1[[#This Row],[Redness]])</f>
        <v>5.2437250691595061</v>
      </c>
      <c r="O30">
        <f>LN(1+Table1[[#This Row],[Greeness]])</f>
        <v>4.988175548274997</v>
      </c>
      <c r="P30">
        <f>LN(1+Table1[[#This Row],[Blueness]])</f>
        <v>1.6624254828140148</v>
      </c>
      <c r="Q30">
        <f>LN(1+Table1[[#This Row],[L* lab]])</f>
        <v>4.1538937133337637</v>
      </c>
      <c r="R30">
        <f>LN(1+Table1[[#This Row],[a* lab]]+128)</f>
        <v>4.9003935861901038</v>
      </c>
      <c r="S30">
        <f>LN(1+Table1[[#This Row],[b* lab]]+128)</f>
        <v>5.2753756124691575</v>
      </c>
      <c r="T30">
        <f>LN(1+Table1[[#This Row],[Hue]])</f>
        <v>3.8518902563440376</v>
      </c>
      <c r="U30">
        <f>LN(1+Table1[[#This Row],[Saturation]])</f>
        <v>4.5924104241878974</v>
      </c>
      <c r="V30">
        <f>LN(1+Table1[[#This Row],[Value]])</f>
        <v>4.3157832478430525</v>
      </c>
    </row>
    <row r="31" spans="1:23" x14ac:dyDescent="0.3">
      <c r="A31">
        <v>1</v>
      </c>
      <c r="B31">
        <v>187.507911107658</v>
      </c>
      <c r="C31">
        <v>145.792145011575</v>
      </c>
      <c r="D31">
        <v>3.94800101931268</v>
      </c>
      <c r="E31">
        <v>62.619990514300603</v>
      </c>
      <c r="F31">
        <v>4.8804883382128104</v>
      </c>
      <c r="G31">
        <v>66.428092289679697</v>
      </c>
      <c r="H31">
        <v>46.364419308331698</v>
      </c>
      <c r="I31">
        <v>97.894488293325395</v>
      </c>
      <c r="J31">
        <v>73.532514159866096</v>
      </c>
      <c r="K31" t="s">
        <v>4</v>
      </c>
      <c r="L31" s="2">
        <v>2.7400000000000001E-2</v>
      </c>
      <c r="M31">
        <v>0</v>
      </c>
      <c r="N31">
        <f>LN(1+Table1[[#This Row],[Redness]])</f>
        <v>5.2391399747482934</v>
      </c>
      <c r="O31">
        <f>LN(1+Table1[[#This Row],[Greeness]])</f>
        <v>4.9890176066532677</v>
      </c>
      <c r="P31">
        <f>LN(1+Table1[[#This Row],[Blueness]])</f>
        <v>1.5989836605352081</v>
      </c>
      <c r="Q31">
        <f>LN(1+Table1[[#This Row],[L* lab]])</f>
        <v>4.1529277372216562</v>
      </c>
      <c r="R31">
        <f>LN(1+Table1[[#This Row],[a* lab]]+128)</f>
        <v>4.8969475239179854</v>
      </c>
      <c r="S31">
        <f>LN(1+Table1[[#This Row],[b* lab]]+128)</f>
        <v>5.2751924973900817</v>
      </c>
      <c r="T31">
        <f>LN(1+Table1[[#This Row],[Hue]])</f>
        <v>3.8578712993205739</v>
      </c>
      <c r="U31">
        <f>LN(1+Table1[[#This Row],[Saturation]])</f>
        <v>4.5940535069778647</v>
      </c>
      <c r="V31">
        <f>LN(1+Table1[[#This Row],[Value]])</f>
        <v>4.3112354618529656</v>
      </c>
    </row>
    <row r="32" spans="1:23" x14ac:dyDescent="0.3">
      <c r="A32">
        <v>1</v>
      </c>
      <c r="B32">
        <v>188.98239999652</v>
      </c>
      <c r="C32">
        <v>147.72867790967999</v>
      </c>
      <c r="D32">
        <v>6.0994198024413704</v>
      </c>
      <c r="E32">
        <v>63.281550288164702</v>
      </c>
      <c r="F32">
        <v>4.51672277831738</v>
      </c>
      <c r="G32">
        <v>66.662761462530298</v>
      </c>
      <c r="H32">
        <v>46.465534832253702</v>
      </c>
      <c r="I32">
        <v>96.772493204365205</v>
      </c>
      <c r="J32">
        <v>74.110745096674606</v>
      </c>
      <c r="K32" t="s">
        <v>4</v>
      </c>
      <c r="L32" s="2">
        <v>2.7400000000000001E-2</v>
      </c>
      <c r="M32">
        <v>0</v>
      </c>
      <c r="N32">
        <f>LN(1+Table1[[#This Row],[Redness]])</f>
        <v>5.2469314362726518</v>
      </c>
      <c r="O32">
        <f>LN(1+Table1[[#This Row],[Greeness]])</f>
        <v>5.0021236923676602</v>
      </c>
      <c r="P32">
        <f>LN(1+Table1[[#This Row],[Blueness]])</f>
        <v>1.9600130627421706</v>
      </c>
      <c r="Q32">
        <f>LN(1+Table1[[#This Row],[L* lab]])</f>
        <v>4.1632726583159556</v>
      </c>
      <c r="R32">
        <f>LN(1+Table1[[#This Row],[a* lab]]+128)</f>
        <v>4.8942267342524515</v>
      </c>
      <c r="S32">
        <f>LN(1+Table1[[#This Row],[b* lab]]+128)</f>
        <v>5.2763925725069658</v>
      </c>
      <c r="T32">
        <f>LN(1+Table1[[#This Row],[Hue]])</f>
        <v>3.8600038651993573</v>
      </c>
      <c r="U32">
        <f>LN(1+Table1[[#This Row],[Saturation]])</f>
        <v>4.5826432819019152</v>
      </c>
      <c r="V32">
        <f>LN(1+Table1[[#This Row],[Value]])</f>
        <v>4.3189636257216044</v>
      </c>
    </row>
    <row r="33" spans="1:23" x14ac:dyDescent="0.3">
      <c r="A33">
        <v>1</v>
      </c>
      <c r="B33">
        <v>190.94755559999999</v>
      </c>
      <c r="C33">
        <v>149.33001089999999</v>
      </c>
      <c r="D33">
        <v>5.9905083379999997</v>
      </c>
      <c r="E33">
        <v>63.905175929999999</v>
      </c>
      <c r="F33">
        <v>4.5315003630000001</v>
      </c>
      <c r="G33">
        <v>67.207064430000003</v>
      </c>
      <c r="H33">
        <v>46.499283390000002</v>
      </c>
      <c r="I33">
        <v>96.862746779999995</v>
      </c>
      <c r="J33">
        <v>74.881394330000006</v>
      </c>
      <c r="K33" t="s">
        <v>4</v>
      </c>
      <c r="L33" s="1">
        <v>2.7400000000000001E-2</v>
      </c>
      <c r="M33">
        <v>0</v>
      </c>
      <c r="N33">
        <f>LN(1+Table1[[#This Row],[Redness]])</f>
        <v>5.257222186799428</v>
      </c>
      <c r="O33">
        <f>LN(1+Table1[[#This Row],[Greeness]])</f>
        <v>5.0128329501468913</v>
      </c>
      <c r="P33">
        <f>LN(1+Table1[[#This Row],[Blueness]])</f>
        <v>1.9445532772066358</v>
      </c>
      <c r="Q33">
        <f>LN(1+Table1[[#This Row],[L* lab]])</f>
        <v>4.1729273729182816</v>
      </c>
      <c r="R33">
        <f>LN(1+Table1[[#This Row],[a* lab]]+128)</f>
        <v>4.8943374077819275</v>
      </c>
      <c r="S33">
        <f>LN(1+Table1[[#This Row],[b* lab]]+128)</f>
        <v>5.2791705527521655</v>
      </c>
      <c r="T33">
        <f>LN(1+Table1[[#This Row],[Hue]])</f>
        <v>3.8607146244004769</v>
      </c>
      <c r="U33">
        <f>LN(1+Table1[[#This Row],[Saturation]])</f>
        <v>4.5835659539322195</v>
      </c>
      <c r="V33">
        <f>LN(1+Table1[[#This Row],[Value]])</f>
        <v>4.3291715203592416</v>
      </c>
      <c r="W33" t="s">
        <v>26</v>
      </c>
    </row>
    <row r="34" spans="1:23" x14ac:dyDescent="0.3">
      <c r="A34">
        <v>10</v>
      </c>
      <c r="B34">
        <v>180.57013330000001</v>
      </c>
      <c r="C34">
        <v>125.3069941</v>
      </c>
      <c r="D34">
        <v>3.8419811570000002</v>
      </c>
      <c r="E34">
        <v>56.612225199999997</v>
      </c>
      <c r="F34">
        <v>13.04388501</v>
      </c>
      <c r="G34">
        <v>61.87116631</v>
      </c>
      <c r="H34">
        <v>41.23791645</v>
      </c>
      <c r="I34">
        <v>97.872305299999994</v>
      </c>
      <c r="J34">
        <v>70.811816989999997</v>
      </c>
      <c r="K34" t="s">
        <v>4</v>
      </c>
      <c r="L34" s="2">
        <v>0.27400000000000002</v>
      </c>
      <c r="M34">
        <v>0</v>
      </c>
      <c r="N34">
        <f>LN(1+Table1[[#This Row],[Redness]])</f>
        <v>5.2016419884344236</v>
      </c>
      <c r="O34">
        <f>LN(1+Table1[[#This Row],[Greeness]])</f>
        <v>4.8387154047036463</v>
      </c>
      <c r="P34">
        <f>LN(1+Table1[[#This Row],[Blueness]])</f>
        <v>1.5773239669345647</v>
      </c>
      <c r="Q34">
        <f>LN(1+Table1[[#This Row],[L* lab]])</f>
        <v>4.0537347882370298</v>
      </c>
      <c r="R34">
        <f>LN(1+Table1[[#This Row],[a* lab]]+128)</f>
        <v>4.9561360592215395</v>
      </c>
      <c r="S34">
        <f>LN(1+Table1[[#This Row],[b* lab]]+128)</f>
        <v>5.2515986785171851</v>
      </c>
      <c r="T34">
        <f>LN(1+Table1[[#This Row],[Hue]])</f>
        <v>3.7433183117136126</v>
      </c>
      <c r="U34">
        <f>LN(1+Table1[[#This Row],[Saturation]])</f>
        <v>4.5938291721133977</v>
      </c>
      <c r="V34">
        <f>LN(1+Table1[[#This Row],[Value]])</f>
        <v>4.2740490445454675</v>
      </c>
      <c r="W34" t="s">
        <v>26</v>
      </c>
    </row>
    <row r="35" spans="1:23" x14ac:dyDescent="0.3">
      <c r="A35">
        <v>10</v>
      </c>
      <c r="B35">
        <v>183.00479999999999</v>
      </c>
      <c r="C35">
        <v>127.62166019999999</v>
      </c>
      <c r="D35">
        <v>2.8957605499999999</v>
      </c>
      <c r="E35">
        <v>57.477530690000002</v>
      </c>
      <c r="F35">
        <v>12.84522611</v>
      </c>
      <c r="G35">
        <v>62.767197029999998</v>
      </c>
      <c r="H35">
        <v>41.550129869999999</v>
      </c>
      <c r="I35">
        <v>98.417658689999996</v>
      </c>
      <c r="J35">
        <v>71.766588229999996</v>
      </c>
      <c r="K35" t="s">
        <v>4</v>
      </c>
      <c r="L35" s="2">
        <v>0.27400000000000002</v>
      </c>
      <c r="M35">
        <v>0</v>
      </c>
      <c r="N35">
        <f>LN(1+Table1[[#This Row],[Redness]])</f>
        <v>5.2149618442252486</v>
      </c>
      <c r="O35">
        <f>LN(1+Table1[[#This Row],[Greeness]])</f>
        <v>4.856875228413803</v>
      </c>
      <c r="P35">
        <f>LN(1+Table1[[#This Row],[Blueness]])</f>
        <v>1.3598889234192371</v>
      </c>
      <c r="Q35">
        <f>LN(1+Table1[[#This Row],[L* lab]])</f>
        <v>4.068642589686827</v>
      </c>
      <c r="R35">
        <f>LN(1+Table1[[#This Row],[a* lab]]+128)</f>
        <v>4.9547365061943509</v>
      </c>
      <c r="S35">
        <f>LN(1+Table1[[#This Row],[b* lab]]+128)</f>
        <v>5.2562821208673984</v>
      </c>
      <c r="T35">
        <f>LN(1+Table1[[#This Row],[Hue]])</f>
        <v>3.7506829071886383</v>
      </c>
      <c r="U35">
        <f>LN(1+Table1[[#This Row],[Saturation]])</f>
        <v>4.5993297507010364</v>
      </c>
      <c r="V35">
        <f>LN(1+Table1[[#This Row],[Value]])</f>
        <v>4.2872568969669143</v>
      </c>
      <c r="W35" t="s">
        <v>26</v>
      </c>
    </row>
    <row r="36" spans="1:23" x14ac:dyDescent="0.3">
      <c r="A36">
        <v>10</v>
      </c>
      <c r="B36">
        <v>178.97208889999999</v>
      </c>
      <c r="C36">
        <v>125.10232739999999</v>
      </c>
      <c r="D36">
        <v>3.3726332700000001</v>
      </c>
      <c r="E36">
        <v>56.3682163</v>
      </c>
      <c r="F36">
        <v>12.43267616</v>
      </c>
      <c r="G36">
        <v>61.69290814</v>
      </c>
      <c r="H36">
        <v>41.59341852</v>
      </c>
      <c r="I36">
        <v>98.115553500000004</v>
      </c>
      <c r="J36">
        <v>70.185132899999999</v>
      </c>
      <c r="K36" t="s">
        <v>4</v>
      </c>
      <c r="L36" s="2">
        <v>0.27400000000000002</v>
      </c>
      <c r="M36">
        <v>0</v>
      </c>
      <c r="N36">
        <f>LN(1+Table1[[#This Row],[Redness]])</f>
        <v>5.1928017772002404</v>
      </c>
      <c r="O36">
        <f>LN(1+Table1[[#This Row],[Greeness]])</f>
        <v>4.8370936995808824</v>
      </c>
      <c r="P36">
        <f>LN(1+Table1[[#This Row],[Blueness]])</f>
        <v>1.4753654065770727</v>
      </c>
      <c r="Q36">
        <f>LN(1+Table1[[#This Row],[L* lab]])</f>
        <v>4.0494904269678109</v>
      </c>
      <c r="R36">
        <f>LN(1+Table1[[#This Row],[a* lab]]+128)</f>
        <v>4.9518238170056881</v>
      </c>
      <c r="S36">
        <f>LN(1+Table1[[#This Row],[b* lab]]+128)</f>
        <v>5.2506643233464292</v>
      </c>
      <c r="T36">
        <f>LN(1+Table1[[#This Row],[Hue]])</f>
        <v>3.7516997465040873</v>
      </c>
      <c r="U36">
        <f>LN(1+Table1[[#This Row],[Saturation]])</f>
        <v>4.5962863765487176</v>
      </c>
      <c r="V36">
        <f>LN(1+Table1[[#This Row],[Value]])</f>
        <v>4.2652839890303218</v>
      </c>
      <c r="W36" t="s">
        <v>26</v>
      </c>
    </row>
    <row r="37" spans="1:23" x14ac:dyDescent="0.3">
      <c r="A37">
        <v>10</v>
      </c>
      <c r="B37">
        <v>185.35679999999999</v>
      </c>
      <c r="C37">
        <v>133.63108109999999</v>
      </c>
      <c r="D37">
        <v>3.3661139699999998</v>
      </c>
      <c r="E37">
        <v>59.267899530000001</v>
      </c>
      <c r="F37">
        <v>10.58205643</v>
      </c>
      <c r="G37">
        <v>64.052310869999999</v>
      </c>
      <c r="H37">
        <v>42.946692480000003</v>
      </c>
      <c r="I37">
        <v>98.183981399999993</v>
      </c>
      <c r="J37">
        <v>72.68894118</v>
      </c>
      <c r="K37" t="s">
        <v>4</v>
      </c>
      <c r="L37" s="2">
        <v>0.27400000000000002</v>
      </c>
      <c r="M37">
        <v>0</v>
      </c>
      <c r="N37">
        <f>LN(1+Table1[[#This Row],[Redness]])</f>
        <v>5.2276631157344191</v>
      </c>
      <c r="O37">
        <f>LN(1+Table1[[#This Row],[Greeness]])</f>
        <v>4.9025383051156277</v>
      </c>
      <c r="P37">
        <f>LN(1+Table1[[#This Row],[Blueness]])</f>
        <v>1.4738733617723903</v>
      </c>
      <c r="Q37">
        <f>LN(1+Table1[[#This Row],[L* lab]])</f>
        <v>4.0987996158838262</v>
      </c>
      <c r="R37">
        <f>LN(1+Table1[[#This Row],[a* lab]]+128)</f>
        <v>4.9386526464651448</v>
      </c>
      <c r="S37">
        <f>LN(1+Table1[[#This Row],[b* lab]]+128)</f>
        <v>5.2629611929571718</v>
      </c>
      <c r="T37">
        <f>LN(1+Table1[[#This Row],[Hue]])</f>
        <v>3.7829773648715204</v>
      </c>
      <c r="U37">
        <f>LN(1+Table1[[#This Row],[Saturation]])</f>
        <v>4.5969765234292987</v>
      </c>
      <c r="V37">
        <f>LN(1+Table1[[#This Row],[Value]])</f>
        <v>4.2998527361046381</v>
      </c>
      <c r="W37" t="s">
        <v>26</v>
      </c>
    </row>
    <row r="38" spans="1:23" x14ac:dyDescent="0.3">
      <c r="A38">
        <v>10</v>
      </c>
      <c r="B38">
        <v>181.774933329986</v>
      </c>
      <c r="C38">
        <v>135.310902922748</v>
      </c>
      <c r="D38">
        <v>2.82702596854703</v>
      </c>
      <c r="E38">
        <v>59.288027377407602</v>
      </c>
      <c r="F38">
        <v>8.0275037123204491</v>
      </c>
      <c r="G38">
        <v>63.9660605963156</v>
      </c>
      <c r="H38">
        <v>44.420930842161702</v>
      </c>
      <c r="I38">
        <v>98.4447657788904</v>
      </c>
      <c r="J38">
        <v>71.284287580386803</v>
      </c>
      <c r="K38" t="s">
        <v>4</v>
      </c>
      <c r="L38" s="2">
        <v>0.27400000000000002</v>
      </c>
      <c r="M38">
        <v>0</v>
      </c>
      <c r="N38">
        <f>LN(1+Table1[[#This Row],[Redness]])</f>
        <v>5.2082555234138148</v>
      </c>
      <c r="O38">
        <f>LN(1+Table1[[#This Row],[Greeness]])</f>
        <v>4.9149383275997538</v>
      </c>
      <c r="P38">
        <f>LN(1+Table1[[#This Row],[Blueness]])</f>
        <v>1.3420879920351314</v>
      </c>
      <c r="Q38">
        <f>LN(1+Table1[[#This Row],[L* lab]])</f>
        <v>4.0991335330641911</v>
      </c>
      <c r="R38">
        <f>LN(1+Table1[[#This Row],[a* lab]]+128)</f>
        <v>4.9201816627033672</v>
      </c>
      <c r="S38">
        <f>LN(1+Table1[[#This Row],[b* lab]]+128)</f>
        <v>5.2625143216085775</v>
      </c>
      <c r="T38">
        <f>LN(1+Table1[[#This Row],[Hue]])</f>
        <v>3.8159730305704871</v>
      </c>
      <c r="U38">
        <f>LN(1+Table1[[#This Row],[Saturation]])</f>
        <v>4.5996023722295201</v>
      </c>
      <c r="V38">
        <f>LN(1+Table1[[#This Row],[Value]])</f>
        <v>4.2806067830071521</v>
      </c>
    </row>
    <row r="39" spans="1:23" x14ac:dyDescent="0.3">
      <c r="A39">
        <v>10</v>
      </c>
      <c r="B39">
        <v>183.22199999662601</v>
      </c>
      <c r="C39">
        <v>135.83841391530299</v>
      </c>
      <c r="D39">
        <v>0.61675849519750003</v>
      </c>
      <c r="E39">
        <v>59.580653960850697</v>
      </c>
      <c r="F39">
        <v>8.3651325911794405</v>
      </c>
      <c r="G39">
        <v>64.596618713193493</v>
      </c>
      <c r="H39">
        <v>44.430812930103301</v>
      </c>
      <c r="I39">
        <v>99.663381856322403</v>
      </c>
      <c r="J39">
        <v>71.851764704559301</v>
      </c>
      <c r="K39" t="s">
        <v>4</v>
      </c>
      <c r="L39" s="2">
        <v>0.27400000000000002</v>
      </c>
      <c r="M39">
        <v>0</v>
      </c>
      <c r="N39">
        <f>LN(1+Table1[[#This Row],[Redness]])</f>
        <v>5.2161415520673611</v>
      </c>
      <c r="O39">
        <f>LN(1+Table1[[#This Row],[Greeness]])</f>
        <v>4.9188007692449709</v>
      </c>
      <c r="P39">
        <f>LN(1+Table1[[#This Row],[Blueness]])</f>
        <v>0.48042321582125053</v>
      </c>
      <c r="Q39">
        <f>LN(1+Table1[[#This Row],[L* lab]])</f>
        <v>4.1039756005367103</v>
      </c>
      <c r="R39">
        <f>LN(1+Table1[[#This Row],[a* lab]]+128)</f>
        <v>4.922642581872342</v>
      </c>
      <c r="S39">
        <f>LN(1+Table1[[#This Row],[b* lab]]+128)</f>
        <v>5.2657767093655421</v>
      </c>
      <c r="T39">
        <f>LN(1+Table1[[#This Row],[Hue]])</f>
        <v>3.8161905737363142</v>
      </c>
      <c r="U39">
        <f>LN(1+Table1[[#This Row],[Saturation]])</f>
        <v>4.6117820976080379</v>
      </c>
      <c r="V39">
        <f>LN(1+Table1[[#This Row],[Value]])</f>
        <v>4.2884267561578326</v>
      </c>
    </row>
    <row r="40" spans="1:23" x14ac:dyDescent="0.3">
      <c r="A40">
        <v>10</v>
      </c>
      <c r="B40">
        <v>184.03715555216601</v>
      </c>
      <c r="C40">
        <v>138.363524458905</v>
      </c>
      <c r="D40">
        <v>1.6472522264477301</v>
      </c>
      <c r="E40">
        <v>60.322168564534898</v>
      </c>
      <c r="F40">
        <v>7.3530539143904896</v>
      </c>
      <c r="G40">
        <v>64.9860987086915</v>
      </c>
      <c r="H40">
        <v>44.974947540260899</v>
      </c>
      <c r="I40">
        <v>99.104934967340895</v>
      </c>
      <c r="J40">
        <v>72.171433549869306</v>
      </c>
      <c r="K40" t="s">
        <v>4</v>
      </c>
      <c r="L40" s="2">
        <v>0.27400000000000002</v>
      </c>
      <c r="M40">
        <v>0</v>
      </c>
      <c r="N40">
        <f>LN(1+Table1[[#This Row],[Redness]])</f>
        <v>5.2205566457350256</v>
      </c>
      <c r="O40">
        <f>LN(1+Table1[[#This Row],[Greeness]])</f>
        <v>4.9370858031037503</v>
      </c>
      <c r="P40">
        <f>LN(1+Table1[[#This Row],[Blueness]])</f>
        <v>0.97352220636980691</v>
      </c>
      <c r="Q40">
        <f>LN(1+Table1[[#This Row],[L* lab]])</f>
        <v>4.1161414180967393</v>
      </c>
      <c r="R40">
        <f>LN(1+Table1[[#This Row],[a* lab]]+128)</f>
        <v>4.915247506652733</v>
      </c>
      <c r="S40">
        <f>LN(1+Table1[[#This Row],[b* lab]]+128)</f>
        <v>5.2677865003551387</v>
      </c>
      <c r="T40">
        <f>LN(1+Table1[[#This Row],[Hue]])</f>
        <v>3.8280966294404872</v>
      </c>
      <c r="U40">
        <f>LN(1+Table1[[#This Row],[Saturation]])</f>
        <v>4.6062189854789874</v>
      </c>
      <c r="V40">
        <f>LN(1+Table1[[#This Row],[Value]])</f>
        <v>4.2928050927481509</v>
      </c>
    </row>
    <row r="41" spans="1:23" x14ac:dyDescent="0.3">
      <c r="A41">
        <v>10</v>
      </c>
      <c r="B41">
        <v>178.50435555226801</v>
      </c>
      <c r="C41">
        <v>134.50432532624501</v>
      </c>
      <c r="D41">
        <v>2.7974488490590899</v>
      </c>
      <c r="E41">
        <v>58.716771073402597</v>
      </c>
      <c r="F41">
        <v>6.9852282185991799</v>
      </c>
      <c r="G41">
        <v>63.397988624144602</v>
      </c>
      <c r="H41">
        <v>44.974968468253202</v>
      </c>
      <c r="I41">
        <v>98.432840005273704</v>
      </c>
      <c r="J41">
        <v>70.001708059713195</v>
      </c>
      <c r="K41" t="s">
        <v>4</v>
      </c>
      <c r="L41" s="2">
        <v>0.27400000000000002</v>
      </c>
      <c r="M41">
        <v>0</v>
      </c>
      <c r="N41">
        <f>LN(1+Table1[[#This Row],[Redness]])</f>
        <v>5.1901994725490876</v>
      </c>
      <c r="O41">
        <f>LN(1+Table1[[#This Row],[Greeness]])</f>
        <v>4.9090035610371849</v>
      </c>
      <c r="P41">
        <f>LN(1+Table1[[#This Row],[Blueness]])</f>
        <v>1.3343294857615484</v>
      </c>
      <c r="Q41">
        <f>LN(1+Table1[[#This Row],[L* lab]])</f>
        <v>4.0896129034497744</v>
      </c>
      <c r="R41">
        <f>LN(1+Table1[[#This Row],[a* lab]]+128)</f>
        <v>4.9125462637971911</v>
      </c>
      <c r="S41">
        <f>LN(1+Table1[[#This Row],[b* lab]]+128)</f>
        <v>5.2595660840404985</v>
      </c>
      <c r="T41">
        <f>LN(1+Table1[[#This Row],[Hue]])</f>
        <v>3.8280970846446509</v>
      </c>
      <c r="U41">
        <f>LN(1+Table1[[#This Row],[Saturation]])</f>
        <v>4.5994824414451161</v>
      </c>
      <c r="V41">
        <f>LN(1+Table1[[#This Row],[Value]])</f>
        <v>4.2627039339310056</v>
      </c>
    </row>
    <row r="42" spans="1:23" x14ac:dyDescent="0.3">
      <c r="A42">
        <v>10</v>
      </c>
      <c r="B42">
        <v>178.913955552261</v>
      </c>
      <c r="C42">
        <v>134.91392523418901</v>
      </c>
      <c r="D42">
        <v>3.2006398753469698</v>
      </c>
      <c r="E42">
        <v>58.869078088129598</v>
      </c>
      <c r="F42">
        <v>6.95048490348029</v>
      </c>
      <c r="G42">
        <v>63.459405312577601</v>
      </c>
      <c r="H42">
        <v>44.975516460354598</v>
      </c>
      <c r="I42">
        <v>98.211073101889994</v>
      </c>
      <c r="J42">
        <v>70.162335510690696</v>
      </c>
      <c r="K42" t="s">
        <v>4</v>
      </c>
      <c r="L42" s="2">
        <v>0.27400000000000002</v>
      </c>
      <c r="M42">
        <v>0</v>
      </c>
      <c r="N42">
        <f>LN(1+Table1[[#This Row],[Redness]])</f>
        <v>5.1924787118903142</v>
      </c>
      <c r="O42">
        <f>LN(1+Table1[[#This Row],[Greeness]])</f>
        <v>4.9120217826788117</v>
      </c>
      <c r="P42">
        <f>LN(1+Table1[[#This Row],[Blueness]])</f>
        <v>1.435236864958134</v>
      </c>
      <c r="Q42">
        <f>LN(1+Table1[[#This Row],[L* lab]])</f>
        <v>4.0921601462573118</v>
      </c>
      <c r="R42">
        <f>LN(1+Table1[[#This Row],[a* lab]]+128)</f>
        <v>4.912290737850201</v>
      </c>
      <c r="S42">
        <f>LN(1+Table1[[#This Row],[b* lab]]+128)</f>
        <v>5.2598852499961071</v>
      </c>
      <c r="T42">
        <f>LN(1+Table1[[#This Row],[Hue]])</f>
        <v>3.8281090039314676</v>
      </c>
      <c r="U42">
        <f>LN(1+Table1[[#This Row],[Saturation]])</f>
        <v>4.5972496320723186</v>
      </c>
      <c r="V42">
        <f>LN(1+Table1[[#This Row],[Value]])</f>
        <v>4.2649636828140078</v>
      </c>
    </row>
    <row r="43" spans="1:23" x14ac:dyDescent="0.3">
      <c r="A43">
        <v>10</v>
      </c>
      <c r="B43">
        <v>185.01848888548199</v>
      </c>
      <c r="C43">
        <v>138.96547987917401</v>
      </c>
      <c r="D43">
        <v>0.425387754483605</v>
      </c>
      <c r="E43">
        <v>60.5831731176429</v>
      </c>
      <c r="F43">
        <v>7.4525049187491899</v>
      </c>
      <c r="G43">
        <v>65.409349453058695</v>
      </c>
      <c r="H43">
        <v>45.030965277420798</v>
      </c>
      <c r="I43">
        <v>99.770083651073904</v>
      </c>
      <c r="J43">
        <v>72.5562701511695</v>
      </c>
      <c r="K43" t="s">
        <v>4</v>
      </c>
      <c r="L43" s="2">
        <v>0.27400000000000002</v>
      </c>
      <c r="M43">
        <v>0</v>
      </c>
      <c r="N43">
        <f>LN(1+Table1[[#This Row],[Redness]])</f>
        <v>5.2258460713832076</v>
      </c>
      <c r="O43">
        <f>LN(1+Table1[[#This Row],[Greeness]])</f>
        <v>4.9413958199137449</v>
      </c>
      <c r="P43">
        <f>LN(1+Table1[[#This Row],[Blueness]])</f>
        <v>0.35444388511538255</v>
      </c>
      <c r="Q43">
        <f>LN(1+Table1[[#This Row],[L* lab]])</f>
        <v>4.1203886695488539</v>
      </c>
      <c r="R43">
        <f>LN(1+Table1[[#This Row],[a* lab]]+128)</f>
        <v>4.9159766047634141</v>
      </c>
      <c r="S43">
        <f>LN(1+Table1[[#This Row],[b* lab]]+128)</f>
        <v>5.2699659847641991</v>
      </c>
      <c r="T43">
        <f>LN(1+Table1[[#This Row],[Hue]])</f>
        <v>3.8293143282245379</v>
      </c>
      <c r="U43">
        <f>LN(1+Table1[[#This Row],[Saturation]])</f>
        <v>4.6128415224107906</v>
      </c>
      <c r="V43">
        <f>LN(1+Table1[[#This Row],[Value]])</f>
        <v>4.2980506935997091</v>
      </c>
    </row>
    <row r="44" spans="1:23" x14ac:dyDescent="0.3">
      <c r="A44">
        <v>10</v>
      </c>
      <c r="B44">
        <v>179.98182221890801</v>
      </c>
      <c r="C44">
        <v>135.981791660857</v>
      </c>
      <c r="D44">
        <v>2.9817558580996302</v>
      </c>
      <c r="E44">
        <v>59.2625945893463</v>
      </c>
      <c r="F44">
        <v>6.84318412723563</v>
      </c>
      <c r="G44">
        <v>63.829212089725601</v>
      </c>
      <c r="H44">
        <v>45.084740996076697</v>
      </c>
      <c r="I44">
        <v>98.343301661612799</v>
      </c>
      <c r="J44">
        <v>70.581106752512994</v>
      </c>
      <c r="K44" t="s">
        <v>4</v>
      </c>
      <c r="L44" s="2">
        <v>0.27400000000000002</v>
      </c>
      <c r="M44">
        <v>0</v>
      </c>
      <c r="N44">
        <f>LN(1+Table1[[#This Row],[Redness]])</f>
        <v>5.1983965964926329</v>
      </c>
      <c r="O44">
        <f>LN(1+Table1[[#This Row],[Greeness]])</f>
        <v>4.9198480094101438</v>
      </c>
      <c r="P44">
        <f>LN(1+Table1[[#This Row],[Blueness]])</f>
        <v>1.3817228923860996</v>
      </c>
      <c r="Q44">
        <f>LN(1+Table1[[#This Row],[L* lab]])</f>
        <v>4.0987115893525177</v>
      </c>
      <c r="R44">
        <f>LN(1+Table1[[#This Row],[a* lab]]+128)</f>
        <v>4.9115011625653766</v>
      </c>
      <c r="S44">
        <f>LN(1+Table1[[#This Row],[b* lab]]+128)</f>
        <v>5.261804885687412</v>
      </c>
      <c r="T44">
        <f>LN(1+Table1[[#This Row],[Hue]])</f>
        <v>3.8304818972947947</v>
      </c>
      <c r="U44">
        <f>LN(1+Table1[[#This Row],[Saturation]])</f>
        <v>4.5985815451004548</v>
      </c>
      <c r="V44">
        <f>LN(1+Table1[[#This Row],[Value]])</f>
        <v>4.2708311669746069</v>
      </c>
    </row>
    <row r="45" spans="1:23" x14ac:dyDescent="0.3">
      <c r="A45">
        <v>10</v>
      </c>
      <c r="B45">
        <v>180.01471110779599</v>
      </c>
      <c r="C45">
        <v>136.014680542354</v>
      </c>
      <c r="D45">
        <v>3.01464401500583</v>
      </c>
      <c r="E45">
        <v>59.274893422256802</v>
      </c>
      <c r="F45">
        <v>6.8404020128965701</v>
      </c>
      <c r="G45">
        <v>63.833382015189599</v>
      </c>
      <c r="H45">
        <v>45.084741055253197</v>
      </c>
      <c r="I45">
        <v>98.325334637122694</v>
      </c>
      <c r="J45">
        <v>70.594004355998607</v>
      </c>
      <c r="K45" t="s">
        <v>4</v>
      </c>
      <c r="L45" s="2">
        <v>0.27400000000000002</v>
      </c>
      <c r="M45">
        <v>0</v>
      </c>
      <c r="N45">
        <f>LN(1+Table1[[#This Row],[Redness]])</f>
        <v>5.1985783048016945</v>
      </c>
      <c r="O45">
        <f>LN(1+Table1[[#This Row],[Greeness]])</f>
        <v>4.9200880773306572</v>
      </c>
      <c r="P45">
        <f>LN(1+Table1[[#This Row],[Blueness]])</f>
        <v>1.3899486797084168</v>
      </c>
      <c r="Q45">
        <f>LN(1+Table1[[#This Row],[L* lab]])</f>
        <v>4.0989156558741628</v>
      </c>
      <c r="R45">
        <f>LN(1+Table1[[#This Row],[a* lab]]+128)</f>
        <v>4.9114806820175545</v>
      </c>
      <c r="S45">
        <f>LN(1+Table1[[#This Row],[b* lab]]+128)</f>
        <v>5.261826510421197</v>
      </c>
      <c r="T45">
        <f>LN(1+Table1[[#This Row],[Hue]])</f>
        <v>3.8304818985788751</v>
      </c>
      <c r="U45">
        <f>LN(1+Table1[[#This Row],[Saturation]])</f>
        <v>4.5984006708077247</v>
      </c>
      <c r="V45">
        <f>LN(1+Table1[[#This Row],[Value]])</f>
        <v>4.2710113324156618</v>
      </c>
    </row>
    <row r="46" spans="1:23" x14ac:dyDescent="0.3">
      <c r="A46">
        <v>1</v>
      </c>
      <c r="B46">
        <v>200.87711110000001</v>
      </c>
      <c r="C46">
        <v>158.9747643</v>
      </c>
      <c r="D46">
        <v>5.3988187290000003</v>
      </c>
      <c r="E46">
        <v>67.428501139999995</v>
      </c>
      <c r="F46">
        <v>3.7581198090000001</v>
      </c>
      <c r="G46">
        <v>70.298873720000003</v>
      </c>
      <c r="H46">
        <v>47.138516610000003</v>
      </c>
      <c r="I46">
        <v>97.312377350000006</v>
      </c>
      <c r="J46">
        <v>78.775337690000001</v>
      </c>
      <c r="K46" t="s">
        <v>1</v>
      </c>
      <c r="L46" s="1">
        <v>2.2800000000000001E-2</v>
      </c>
      <c r="M46">
        <v>0</v>
      </c>
      <c r="N46">
        <f>LN(1+Table1[[#This Row],[Redness]])</f>
        <v>5.3076591513835423</v>
      </c>
      <c r="O46">
        <f>LN(1+Table1[[#This Row],[Greeness]])</f>
        <v>5.0750160796692265</v>
      </c>
      <c r="P46">
        <f>LN(1+Table1[[#This Row],[Blueness]])</f>
        <v>1.8561133997360741</v>
      </c>
      <c r="Q46">
        <f>LN(1+Table1[[#This Row],[L* lab]])</f>
        <v>4.2257894211734461</v>
      </c>
      <c r="R46">
        <f>LN(1+Table1[[#This Row],[a* lab]]+128)</f>
        <v>4.8885288244209661</v>
      </c>
      <c r="S46">
        <f>LN(1+Table1[[#This Row],[b* lab]]+128)</f>
        <v>5.2948055760236539</v>
      </c>
      <c r="T46">
        <f>LN(1+Table1[[#This Row],[Hue]])</f>
        <v>3.8740826177962404</v>
      </c>
      <c r="U46">
        <f>LN(1+Table1[[#This Row],[Saturation]])</f>
        <v>4.5881499332652709</v>
      </c>
      <c r="V46">
        <f>LN(1+Table1[[#This Row],[Value]])</f>
        <v>4.3792144051857456</v>
      </c>
      <c r="W46" t="s">
        <v>26</v>
      </c>
    </row>
    <row r="47" spans="1:23" x14ac:dyDescent="0.3">
      <c r="A47">
        <v>1</v>
      </c>
      <c r="B47">
        <v>197.34002219999999</v>
      </c>
      <c r="C47">
        <v>155.6344761</v>
      </c>
      <c r="D47">
        <v>4.8261453640000003</v>
      </c>
      <c r="E47">
        <v>66.197585590000003</v>
      </c>
      <c r="F47">
        <v>3.972663512</v>
      </c>
      <c r="G47">
        <v>69.333975080000002</v>
      </c>
      <c r="H47">
        <v>47.001805760000003</v>
      </c>
      <c r="I47">
        <v>97.554401119999994</v>
      </c>
      <c r="J47">
        <v>77.388244009999994</v>
      </c>
      <c r="K47" t="s">
        <v>1</v>
      </c>
      <c r="L47" s="1">
        <v>2.2800000000000001E-2</v>
      </c>
      <c r="M47">
        <v>0</v>
      </c>
      <c r="N47">
        <f>LN(1+Table1[[#This Row],[Redness]])</f>
        <v>5.2899828416869834</v>
      </c>
      <c r="O47">
        <f>LN(1+Table1[[#This Row],[Greeness]])</f>
        <v>5.0539149132216643</v>
      </c>
      <c r="P47">
        <f>LN(1+Table1[[#This Row],[Blueness]])</f>
        <v>1.7623556091356891</v>
      </c>
      <c r="Q47">
        <f>LN(1+Table1[[#This Row],[L* lab]])</f>
        <v>4.2076373181634139</v>
      </c>
      <c r="R47">
        <f>LN(1+Table1[[#This Row],[a* lab]]+128)</f>
        <v>4.8901435695922668</v>
      </c>
      <c r="S47">
        <f>LN(1+Table1[[#This Row],[b* lab]]+128)</f>
        <v>5.289952352569764</v>
      </c>
      <c r="T47">
        <f>LN(1+Table1[[#This Row],[Hue]])</f>
        <v>3.8712386302002764</v>
      </c>
      <c r="U47">
        <f>LN(1+Table1[[#This Row],[Saturation]])</f>
        <v>4.5906086913534594</v>
      </c>
      <c r="V47">
        <f>LN(1+Table1[[#This Row],[Value]])</f>
        <v>4.3616739672608684</v>
      </c>
      <c r="W47" t="s">
        <v>26</v>
      </c>
    </row>
    <row r="48" spans="1:23" x14ac:dyDescent="0.3">
      <c r="A48">
        <v>1</v>
      </c>
      <c r="B48">
        <v>194.93066669999999</v>
      </c>
      <c r="C48">
        <v>152.63045460000001</v>
      </c>
      <c r="D48">
        <v>3.2362474159999999</v>
      </c>
      <c r="E48">
        <v>65.169867010000004</v>
      </c>
      <c r="F48">
        <v>4.4953866959999997</v>
      </c>
      <c r="G48">
        <v>68.698668440000006</v>
      </c>
      <c r="H48">
        <v>46.760111559999999</v>
      </c>
      <c r="I48">
        <v>98.339795649999999</v>
      </c>
      <c r="J48">
        <v>76.443398689999995</v>
      </c>
      <c r="K48" t="s">
        <v>1</v>
      </c>
      <c r="L48" s="1">
        <v>2.2800000000000001E-2</v>
      </c>
      <c r="M48">
        <v>0</v>
      </c>
      <c r="N48">
        <f>LN(1+Table1[[#This Row],[Redness]])</f>
        <v>5.2777608553227644</v>
      </c>
      <c r="O48">
        <f>LN(1+Table1[[#This Row],[Greeness]])</f>
        <v>5.0345500731956667</v>
      </c>
      <c r="P48">
        <f>LN(1+Table1[[#This Row],[Blueness]])</f>
        <v>1.4436778339654943</v>
      </c>
      <c r="Q48">
        <f>LN(1+Table1[[#This Row],[L* lab]])</f>
        <v>4.1922251781987656</v>
      </c>
      <c r="R48">
        <f>LN(1+Table1[[#This Row],[a* lab]]+128)</f>
        <v>4.8940669206589424</v>
      </c>
      <c r="S48">
        <f>LN(1+Table1[[#This Row],[b* lab]]+128)</f>
        <v>5.286743994898452</v>
      </c>
      <c r="T48">
        <f>LN(1+Table1[[#This Row],[Hue]])</f>
        <v>3.8661908049275149</v>
      </c>
      <c r="U48">
        <f>LN(1+Table1[[#This Row],[Saturation]])</f>
        <v>4.5985462526003822</v>
      </c>
      <c r="V48">
        <f>LN(1+Table1[[#This Row],[Value]])</f>
        <v>4.3495473300476251</v>
      </c>
      <c r="W48" t="s">
        <v>26</v>
      </c>
    </row>
    <row r="49" spans="1:23" x14ac:dyDescent="0.3">
      <c r="A49">
        <v>1</v>
      </c>
      <c r="B49">
        <v>190.973333329817</v>
      </c>
      <c r="C49">
        <v>149.666633029688</v>
      </c>
      <c r="D49">
        <v>5.6665405480273598</v>
      </c>
      <c r="E49">
        <v>63.994023738152201</v>
      </c>
      <c r="F49">
        <v>4.3534572950588002</v>
      </c>
      <c r="G49">
        <v>67.328351953234801</v>
      </c>
      <c r="H49">
        <v>46.625411940909203</v>
      </c>
      <c r="I49">
        <v>97.032810576625806</v>
      </c>
      <c r="J49">
        <v>74.891503266594896</v>
      </c>
      <c r="K49" t="s">
        <v>1</v>
      </c>
      <c r="L49" s="2">
        <v>2.2800000000000001E-2</v>
      </c>
      <c r="M49">
        <v>0</v>
      </c>
      <c r="N49">
        <f>LN(1+Table1[[#This Row],[Redness]])</f>
        <v>5.257356473474621</v>
      </c>
      <c r="O49">
        <f>LN(1+Table1[[#This Row],[Greeness]])</f>
        <v>5.0150696679098132</v>
      </c>
      <c r="P49">
        <f>LN(1+Table1[[#This Row],[Blueness]])</f>
        <v>1.8971010669110415</v>
      </c>
      <c r="Q49">
        <f>LN(1+Table1[[#This Row],[L* lab]])</f>
        <v>4.1742953231787014</v>
      </c>
      <c r="R49">
        <f>LN(1+Table1[[#This Row],[a* lab]]+128)</f>
        <v>4.8930031767640703</v>
      </c>
      <c r="S49">
        <f>LN(1+Table1[[#This Row],[b* lab]]+128)</f>
        <v>5.2797885226067693</v>
      </c>
      <c r="T49">
        <f>LN(1+Table1[[#This Row],[Hue]])</f>
        <v>3.8633664830873404</v>
      </c>
      <c r="U49">
        <f>LN(1+Table1[[#This Row],[Saturation]])</f>
        <v>4.5853022244392587</v>
      </c>
      <c r="V49">
        <f>LN(1+Table1[[#This Row],[Value]])</f>
        <v>4.3293047317134414</v>
      </c>
    </row>
    <row r="50" spans="1:23" x14ac:dyDescent="0.3">
      <c r="A50">
        <v>1</v>
      </c>
      <c r="B50">
        <v>190.95999999648299</v>
      </c>
      <c r="C50">
        <v>149.65329969935101</v>
      </c>
      <c r="D50">
        <v>5.6532075114437701</v>
      </c>
      <c r="E50">
        <v>63.989137793043099</v>
      </c>
      <c r="F50">
        <v>4.3545460021667699</v>
      </c>
      <c r="G50">
        <v>67.326133225616204</v>
      </c>
      <c r="H50">
        <v>46.625411920461403</v>
      </c>
      <c r="I50">
        <v>97.039585509243807</v>
      </c>
      <c r="J50">
        <v>74.886274508425004</v>
      </c>
      <c r="K50" t="s">
        <v>1</v>
      </c>
      <c r="L50" s="2">
        <v>2.2800000000000001E-2</v>
      </c>
      <c r="M50">
        <v>0</v>
      </c>
      <c r="N50">
        <f>LN(1+Table1[[#This Row],[Redness]])</f>
        <v>5.2572870169717234</v>
      </c>
      <c r="O50">
        <f>LN(1+Table1[[#This Row],[Greeness]])</f>
        <v>5.0149811684187577</v>
      </c>
      <c r="P50">
        <f>LN(1+Table1[[#This Row],[Blueness]])</f>
        <v>1.8950990709307451</v>
      </c>
      <c r="Q50">
        <f>LN(1+Table1[[#This Row],[L* lab]])</f>
        <v>4.1742201450547984</v>
      </c>
      <c r="R50">
        <f>LN(1+Table1[[#This Row],[a* lab]]+128)</f>
        <v>4.893011340801853</v>
      </c>
      <c r="S50">
        <f>LN(1+Table1[[#This Row],[b* lab]]+128)</f>
        <v>5.2797772214363903</v>
      </c>
      <c r="T50">
        <f>LN(1+Table1[[#This Row],[Hue]])</f>
        <v>3.8633664826579941</v>
      </c>
      <c r="U50">
        <f>LN(1+Table1[[#This Row],[Saturation]])</f>
        <v>4.5853713308790836</v>
      </c>
      <c r="V50">
        <f>LN(1+Table1[[#This Row],[Value]])</f>
        <v>4.3292358315325501</v>
      </c>
    </row>
    <row r="51" spans="1:23" x14ac:dyDescent="0.3">
      <c r="A51">
        <v>1</v>
      </c>
      <c r="B51">
        <v>190.75999999648701</v>
      </c>
      <c r="C51">
        <v>149.18663313756599</v>
      </c>
      <c r="D51">
        <v>5.1865512310179804</v>
      </c>
      <c r="E51">
        <v>63.846431490301804</v>
      </c>
      <c r="F51">
        <v>4.51254383276589</v>
      </c>
      <c r="G51">
        <v>67.280344915814396</v>
      </c>
      <c r="H51">
        <v>46.558411086664997</v>
      </c>
      <c r="I51">
        <v>97.2811117471621</v>
      </c>
      <c r="J51">
        <v>74.807843135877405</v>
      </c>
      <c r="K51" t="s">
        <v>1</v>
      </c>
      <c r="L51" s="2">
        <v>2.2800000000000001E-2</v>
      </c>
      <c r="M51">
        <v>0</v>
      </c>
      <c r="N51">
        <f>LN(1+Table1[[#This Row],[Redness]])</f>
        <v>5.2562445901078094</v>
      </c>
      <c r="O51">
        <f>LN(1+Table1[[#This Row],[Greeness]])</f>
        <v>5.0118787416119721</v>
      </c>
      <c r="P51">
        <f>LN(1+Table1[[#This Row],[Blueness]])</f>
        <v>1.8223777797364464</v>
      </c>
      <c r="Q51">
        <f>LN(1+Table1[[#This Row],[L* lab]])</f>
        <v>4.1720218821135058</v>
      </c>
      <c r="R51">
        <f>LN(1+Table1[[#This Row],[a* lab]]+128)</f>
        <v>4.8941954347203449</v>
      </c>
      <c r="S51">
        <f>LN(1+Table1[[#This Row],[b* lab]]+128)</f>
        <v>5.2795439684843446</v>
      </c>
      <c r="T51">
        <f>LN(1+Table1[[#This Row],[Hue]])</f>
        <v>3.861958662657794</v>
      </c>
      <c r="U51">
        <f>LN(1+Table1[[#This Row],[Saturation]])</f>
        <v>4.5878318596276841</v>
      </c>
      <c r="V51">
        <f>LN(1+Table1[[#This Row],[Value]])</f>
        <v>4.3282017587450952</v>
      </c>
    </row>
    <row r="52" spans="1:23" x14ac:dyDescent="0.3">
      <c r="A52">
        <v>1</v>
      </c>
      <c r="B52">
        <v>190.75999999648701</v>
      </c>
      <c r="C52">
        <v>149.18663313756599</v>
      </c>
      <c r="D52">
        <v>5.1865512310179804</v>
      </c>
      <c r="E52">
        <v>63.846431490301804</v>
      </c>
      <c r="F52">
        <v>4.51254383276589</v>
      </c>
      <c r="G52">
        <v>67.280344915814396</v>
      </c>
      <c r="H52">
        <v>46.558411086664997</v>
      </c>
      <c r="I52">
        <v>97.2811117471621</v>
      </c>
      <c r="J52">
        <v>74.807843135877405</v>
      </c>
      <c r="K52" t="s">
        <v>1</v>
      </c>
      <c r="L52" s="2">
        <v>2.2800000000000001E-2</v>
      </c>
      <c r="M52">
        <v>0</v>
      </c>
      <c r="N52">
        <f>LN(1+Table1[[#This Row],[Redness]])</f>
        <v>5.2562445901078094</v>
      </c>
      <c r="O52">
        <f>LN(1+Table1[[#This Row],[Greeness]])</f>
        <v>5.0118787416119721</v>
      </c>
      <c r="P52">
        <f>LN(1+Table1[[#This Row],[Blueness]])</f>
        <v>1.8223777797364464</v>
      </c>
      <c r="Q52">
        <f>LN(1+Table1[[#This Row],[L* lab]])</f>
        <v>4.1720218821135058</v>
      </c>
      <c r="R52">
        <f>LN(1+Table1[[#This Row],[a* lab]]+128)</f>
        <v>4.8941954347203449</v>
      </c>
      <c r="S52">
        <f>LN(1+Table1[[#This Row],[b* lab]]+128)</f>
        <v>5.2795439684843446</v>
      </c>
      <c r="T52">
        <f>LN(1+Table1[[#This Row],[Hue]])</f>
        <v>3.861958662657794</v>
      </c>
      <c r="U52">
        <f>LN(1+Table1[[#This Row],[Saturation]])</f>
        <v>4.5878318596276841</v>
      </c>
      <c r="V52">
        <f>LN(1+Table1[[#This Row],[Value]])</f>
        <v>4.3282017587450952</v>
      </c>
    </row>
    <row r="53" spans="1:23" x14ac:dyDescent="0.3">
      <c r="A53">
        <v>1</v>
      </c>
      <c r="B53">
        <v>190.413333329827</v>
      </c>
      <c r="C53">
        <v>148.41329997803601</v>
      </c>
      <c r="D53">
        <v>4.4132351091695403</v>
      </c>
      <c r="E53">
        <v>63.608333976090101</v>
      </c>
      <c r="F53">
        <v>4.7675057868775497</v>
      </c>
      <c r="G53">
        <v>67.202581342080293</v>
      </c>
      <c r="H53">
        <v>46.451609299055903</v>
      </c>
      <c r="I53">
        <v>97.682286722261594</v>
      </c>
      <c r="J53">
        <v>74.671895423461606</v>
      </c>
      <c r="K53" t="s">
        <v>1</v>
      </c>
      <c r="L53" s="2">
        <v>2.2800000000000001E-2</v>
      </c>
      <c r="M53">
        <v>0</v>
      </c>
      <c r="N53">
        <f>LN(1+Table1[[#This Row],[Redness]])</f>
        <v>5.2544351387128696</v>
      </c>
      <c r="O53">
        <f>LN(1+Table1[[#This Row],[Greeness]])</f>
        <v>5.0067162913471224</v>
      </c>
      <c r="P53">
        <f>LN(1+Table1[[#This Row],[Blueness]])</f>
        <v>1.6888469010429588</v>
      </c>
      <c r="Q53">
        <f>LN(1+Table1[[#This Row],[L* lab]])</f>
        <v>4.1683434113854245</v>
      </c>
      <c r="R53">
        <f>LN(1+Table1[[#This Row],[a* lab]]+128)</f>
        <v>4.8961032615993716</v>
      </c>
      <c r="S53">
        <f>LN(1+Table1[[#This Row],[b* lab]]+128)</f>
        <v>5.2791477037321775</v>
      </c>
      <c r="T53">
        <f>LN(1+Table1[[#This Row],[Hue]])</f>
        <v>3.859710440161654</v>
      </c>
      <c r="U53">
        <f>LN(1+Table1[[#This Row],[Saturation]])</f>
        <v>4.5919054645003001</v>
      </c>
      <c r="V53">
        <f>LN(1+Table1[[#This Row],[Value]])</f>
        <v>4.3264068289385325</v>
      </c>
    </row>
    <row r="54" spans="1:23" x14ac:dyDescent="0.3">
      <c r="A54">
        <v>1</v>
      </c>
      <c r="B54">
        <v>190.413333329827</v>
      </c>
      <c r="C54">
        <v>148.41329997803601</v>
      </c>
      <c r="D54">
        <v>4.4132351091695403</v>
      </c>
      <c r="E54">
        <v>63.608333976090101</v>
      </c>
      <c r="F54">
        <v>4.7675057868775497</v>
      </c>
      <c r="G54">
        <v>67.202581342080293</v>
      </c>
      <c r="H54">
        <v>46.451609299055903</v>
      </c>
      <c r="I54">
        <v>97.682286722261594</v>
      </c>
      <c r="J54">
        <v>74.671895423461606</v>
      </c>
      <c r="K54" t="s">
        <v>1</v>
      </c>
      <c r="L54" s="2">
        <v>2.2800000000000001E-2</v>
      </c>
      <c r="M54">
        <v>0</v>
      </c>
      <c r="N54">
        <f>LN(1+Table1[[#This Row],[Redness]])</f>
        <v>5.2544351387128696</v>
      </c>
      <c r="O54">
        <f>LN(1+Table1[[#This Row],[Greeness]])</f>
        <v>5.0067162913471224</v>
      </c>
      <c r="P54">
        <f>LN(1+Table1[[#This Row],[Blueness]])</f>
        <v>1.6888469010429588</v>
      </c>
      <c r="Q54">
        <f>LN(1+Table1[[#This Row],[L* lab]])</f>
        <v>4.1683434113854245</v>
      </c>
      <c r="R54">
        <f>LN(1+Table1[[#This Row],[a* lab]]+128)</f>
        <v>4.8961032615993716</v>
      </c>
      <c r="S54">
        <f>LN(1+Table1[[#This Row],[b* lab]]+128)</f>
        <v>5.2791477037321775</v>
      </c>
      <c r="T54">
        <f>LN(1+Table1[[#This Row],[Hue]])</f>
        <v>3.859710440161654</v>
      </c>
      <c r="U54">
        <f>LN(1+Table1[[#This Row],[Saturation]])</f>
        <v>4.5919054645003001</v>
      </c>
      <c r="V54">
        <f>LN(1+Table1[[#This Row],[Value]])</f>
        <v>4.3264068289385325</v>
      </c>
    </row>
    <row r="55" spans="1:23" x14ac:dyDescent="0.3">
      <c r="A55">
        <v>1</v>
      </c>
      <c r="B55">
        <v>190.34666666316099</v>
      </c>
      <c r="C55">
        <v>148.34663332635299</v>
      </c>
      <c r="D55">
        <v>4.3465699262515702</v>
      </c>
      <c r="E55">
        <v>63.583912564832097</v>
      </c>
      <c r="F55">
        <v>4.7729485437590604</v>
      </c>
      <c r="G55">
        <v>67.191433260509299</v>
      </c>
      <c r="H55">
        <v>46.4516091958114</v>
      </c>
      <c r="I55">
        <v>97.716498007320794</v>
      </c>
      <c r="J55">
        <v>74.645751632612502</v>
      </c>
      <c r="K55" t="s">
        <v>1</v>
      </c>
      <c r="L55" s="2">
        <v>2.2800000000000001E-2</v>
      </c>
      <c r="M55">
        <v>0</v>
      </c>
      <c r="N55">
        <f>LN(1+Table1[[#This Row],[Redness]])</f>
        <v>5.2540867916163005</v>
      </c>
      <c r="O55">
        <f>LN(1+Table1[[#This Row],[Greeness]])</f>
        <v>5.0062700022343076</v>
      </c>
      <c r="P55">
        <f>LN(1+Table1[[#This Row],[Blueness]])</f>
        <v>1.6764552200127216</v>
      </c>
      <c r="Q55">
        <f>LN(1+Table1[[#This Row],[L* lab]])</f>
        <v>4.1679653482709149</v>
      </c>
      <c r="R55">
        <f>LN(1+Table1[[#This Row],[a* lab]]+128)</f>
        <v>4.8961439489555758</v>
      </c>
      <c r="S55">
        <f>LN(1+Table1[[#This Row],[b* lab]]+128)</f>
        <v>5.2790908828778367</v>
      </c>
      <c r="T55">
        <f>LN(1+Table1[[#This Row],[Hue]])</f>
        <v>3.8597104379858691</v>
      </c>
      <c r="U55">
        <f>LN(1+Table1[[#This Row],[Saturation]])</f>
        <v>4.5922520855339464</v>
      </c>
      <c r="V55">
        <f>LN(1+Table1[[#This Row],[Value]])</f>
        <v>4.3260612804632839</v>
      </c>
    </row>
    <row r="56" spans="1:23" x14ac:dyDescent="0.3">
      <c r="A56">
        <v>1</v>
      </c>
      <c r="B56">
        <v>189.999999996501</v>
      </c>
      <c r="C56">
        <v>147.99996673759799</v>
      </c>
      <c r="D56">
        <v>3.9999109750781399</v>
      </c>
      <c r="E56">
        <v>63.456934114779301</v>
      </c>
      <c r="F56">
        <v>4.8012496725171498</v>
      </c>
      <c r="G56">
        <v>67.133378848947999</v>
      </c>
      <c r="H56">
        <v>46.451608658940202</v>
      </c>
      <c r="I56">
        <v>97.894783697288503</v>
      </c>
      <c r="J56">
        <v>74.509803920196703</v>
      </c>
      <c r="K56" t="s">
        <v>1</v>
      </c>
      <c r="L56" s="2">
        <v>2.2800000000000001E-2</v>
      </c>
      <c r="M56">
        <v>0</v>
      </c>
      <c r="N56">
        <f>LN(1+Table1[[#This Row],[Redness]])</f>
        <v>5.2522734280283103</v>
      </c>
      <c r="O56">
        <f>LN(1+Table1[[#This Row],[Greeness]])</f>
        <v>5.003946082707837</v>
      </c>
      <c r="P56">
        <f>LN(1+Table1[[#This Row],[Blueness]])</f>
        <v>1.6094201072912178</v>
      </c>
      <c r="Q56">
        <f>LN(1+Table1[[#This Row],[L* lab]])</f>
        <v>4.1659973126557723</v>
      </c>
      <c r="R56">
        <f>LN(1+Table1[[#This Row],[a* lab]]+128)</f>
        <v>4.8963554875049002</v>
      </c>
      <c r="S56">
        <f>LN(1+Table1[[#This Row],[b* lab]]+128)</f>
        <v>5.2787949321238026</v>
      </c>
      <c r="T56">
        <f>LN(1+Table1[[#This Row],[Hue]])</f>
        <v>3.859710426671791</v>
      </c>
      <c r="U56">
        <f>LN(1+Table1[[#This Row],[Saturation]])</f>
        <v>4.5940564940353541</v>
      </c>
      <c r="V56">
        <f>LN(1+Table1[[#This Row],[Value]])</f>
        <v>4.3242625010724147</v>
      </c>
    </row>
    <row r="57" spans="1:23" x14ac:dyDescent="0.3">
      <c r="A57">
        <v>1</v>
      </c>
      <c r="B57">
        <v>196.4103111</v>
      </c>
      <c r="C57">
        <v>152.88814339999999</v>
      </c>
      <c r="D57">
        <v>4.3117929220000004</v>
      </c>
      <c r="E57">
        <v>65.395607979999994</v>
      </c>
      <c r="F57">
        <v>5.0304403720000002</v>
      </c>
      <c r="G57">
        <v>68.783553940000004</v>
      </c>
      <c r="H57">
        <v>46.406297739999999</v>
      </c>
      <c r="I57">
        <v>97.804701339999994</v>
      </c>
      <c r="J57">
        <v>77.023651409999999</v>
      </c>
      <c r="K57" t="s">
        <v>1</v>
      </c>
      <c r="L57" s="1">
        <v>2.2800000000000001E-2</v>
      </c>
      <c r="M57">
        <v>0</v>
      </c>
      <c r="N57">
        <f>LN(1+Table1[[#This Row],[Redness]])</f>
        <v>5.2852843601843436</v>
      </c>
      <c r="O57">
        <f>LN(1+Table1[[#This Row],[Greeness]])</f>
        <v>5.0362259969413561</v>
      </c>
      <c r="P57">
        <f>LN(1+Table1[[#This Row],[Blueness]])</f>
        <v>1.6699294283570447</v>
      </c>
      <c r="Q57">
        <f>LN(1+Table1[[#This Row],[L* lab]])</f>
        <v>4.1956309094152013</v>
      </c>
      <c r="R57">
        <f>LN(1+Table1[[#This Row],[a* lab]]+128)</f>
        <v>4.8980669411076292</v>
      </c>
      <c r="S57">
        <f>LN(1+Table1[[#This Row],[b* lab]]+128)</f>
        <v>5.2871732708380517</v>
      </c>
      <c r="T57">
        <f>LN(1+Table1[[#This Row],[Hue]])</f>
        <v>3.8587550835885094</v>
      </c>
      <c r="U57">
        <f>LN(1+Table1[[#This Row],[Saturation]])</f>
        <v>4.5931451880346756</v>
      </c>
      <c r="V57">
        <f>LN(1+Table1[[#This Row],[Value]])</f>
        <v>4.3570120039318549</v>
      </c>
      <c r="W57" t="s">
        <v>26</v>
      </c>
    </row>
    <row r="58" spans="1:23" x14ac:dyDescent="0.3">
      <c r="A58">
        <v>1</v>
      </c>
      <c r="B58">
        <v>191.33777777425399</v>
      </c>
      <c r="C58">
        <v>146.328856002062</v>
      </c>
      <c r="D58">
        <v>3.3332591458984502</v>
      </c>
      <c r="E58">
        <v>63.168392295730797</v>
      </c>
      <c r="F58">
        <v>6.3058074054874202</v>
      </c>
      <c r="G58">
        <v>67.092050401004897</v>
      </c>
      <c r="H58">
        <v>45.635795745580403</v>
      </c>
      <c r="I58">
        <v>98.257918961601405</v>
      </c>
      <c r="J58">
        <v>75.034422656570499</v>
      </c>
      <c r="K58" t="s">
        <v>1</v>
      </c>
      <c r="L58" s="2">
        <v>2.2800000000000001E-2</v>
      </c>
      <c r="M58">
        <v>0</v>
      </c>
      <c r="N58">
        <f>LN(1+Table1[[#This Row],[Redness]])</f>
        <v>5.2592530855847235</v>
      </c>
      <c r="O58">
        <f>LN(1+Table1[[#This Row],[Greeness]])</f>
        <v>4.9926672038215534</v>
      </c>
      <c r="P58">
        <f>LN(1+Table1[[#This Row],[Blueness]])</f>
        <v>1.4663199484695946</v>
      </c>
      <c r="Q58">
        <f>LN(1+Table1[[#This Row],[L* lab]])</f>
        <v>4.1615107576186015</v>
      </c>
      <c r="R58">
        <f>LN(1+Table1[[#This Row],[a* lab]]+128)</f>
        <v>4.9075374566908367</v>
      </c>
      <c r="S58">
        <f>LN(1+Table1[[#This Row],[b* lab]]+128)</f>
        <v>5.2785841938849529</v>
      </c>
      <c r="T58">
        <f>LN(1+Table1[[#This Row],[Hue]])</f>
        <v>3.8423683953029069</v>
      </c>
      <c r="U58">
        <f>LN(1+Table1[[#This Row],[Saturation]])</f>
        <v>4.5977217044106151</v>
      </c>
      <c r="V58">
        <f>LN(1+Table1[[#This Row],[Value]])</f>
        <v>4.331186167436357</v>
      </c>
    </row>
    <row r="59" spans="1:23" x14ac:dyDescent="0.3">
      <c r="A59">
        <v>1</v>
      </c>
      <c r="B59">
        <v>190.00551110761199</v>
      </c>
      <c r="C59">
        <v>144.994456301963</v>
      </c>
      <c r="D59">
        <v>1.9999554875390699</v>
      </c>
      <c r="E59">
        <v>62.679371398573103</v>
      </c>
      <c r="F59">
        <v>6.4180722408788196</v>
      </c>
      <c r="G59">
        <v>66.876958878820602</v>
      </c>
      <c r="H59">
        <v>45.635194239703601</v>
      </c>
      <c r="I59">
        <v>98.947422379550602</v>
      </c>
      <c r="J59">
        <v>74.511965140240207</v>
      </c>
      <c r="K59" t="s">
        <v>1</v>
      </c>
      <c r="L59" s="2">
        <v>2.2800000000000001E-2</v>
      </c>
      <c r="M59">
        <v>0</v>
      </c>
      <c r="N59">
        <f>LN(1+Table1[[#This Row],[Redness]])</f>
        <v>5.2523022815969167</v>
      </c>
      <c r="O59">
        <f>LN(1+Table1[[#This Row],[Greeness]])</f>
        <v>4.9835686504529377</v>
      </c>
      <c r="P59">
        <f>LN(1+Table1[[#This Row],[Blueness]])</f>
        <v>1.0985974510710563</v>
      </c>
      <c r="Q59">
        <f>LN(1+Table1[[#This Row],[L* lab]])</f>
        <v>4.1538606702338434</v>
      </c>
      <c r="R59">
        <f>LN(1+Table1[[#This Row],[a* lab]]+128)</f>
        <v>4.9083668245469205</v>
      </c>
      <c r="S59">
        <f>LN(1+Table1[[#This Row],[b* lab]]+128)</f>
        <v>5.2774867012838458</v>
      </c>
      <c r="T59">
        <f>LN(1+Table1[[#This Row],[Hue]])</f>
        <v>3.8423554972758374</v>
      </c>
      <c r="U59">
        <f>LN(1+Table1[[#This Row],[Saturation]])</f>
        <v>4.6046442715148208</v>
      </c>
      <c r="V59">
        <f>LN(1+Table1[[#This Row],[Value]])</f>
        <v>4.3242911223772378</v>
      </c>
    </row>
    <row r="60" spans="1:23" x14ac:dyDescent="0.3">
      <c r="A60">
        <v>1</v>
      </c>
      <c r="B60">
        <v>192.01333332979701</v>
      </c>
      <c r="C60">
        <v>146.986633632007</v>
      </c>
      <c r="D60">
        <v>3.9999109750781399</v>
      </c>
      <c r="E60">
        <v>63.411304450452299</v>
      </c>
      <c r="F60">
        <v>6.2590732611227002</v>
      </c>
      <c r="G60">
        <v>67.200570910413106</v>
      </c>
      <c r="H60">
        <v>45.630802588283302</v>
      </c>
      <c r="I60">
        <v>97.916857696435002</v>
      </c>
      <c r="J60">
        <v>75.299346403842193</v>
      </c>
      <c r="K60" t="s">
        <v>1</v>
      </c>
      <c r="L60" s="2">
        <v>2.2800000000000001E-2</v>
      </c>
      <c r="M60">
        <v>0</v>
      </c>
      <c r="N60">
        <f>LN(1+Table1[[#This Row],[Redness]])</f>
        <v>5.262759271129001</v>
      </c>
      <c r="O60">
        <f>LN(1+Table1[[#This Row],[Greeness]])</f>
        <v>4.9971219563883738</v>
      </c>
      <c r="P60">
        <f>LN(1+Table1[[#This Row],[Blueness]])</f>
        <v>1.6094201072912178</v>
      </c>
      <c r="Q60">
        <f>LN(1+Table1[[#This Row],[L* lab]])</f>
        <v>4.1652891526507636</v>
      </c>
      <c r="R60">
        <f>LN(1+Table1[[#This Row],[a* lab]]+128)</f>
        <v>4.9071920005864502</v>
      </c>
      <c r="S60">
        <f>LN(1+Table1[[#This Row],[b* lab]]+128)</f>
        <v>5.2791374569660361</v>
      </c>
      <c r="T60">
        <f>LN(1+Table1[[#This Row],[Hue]])</f>
        <v>3.8422613225160553</v>
      </c>
      <c r="U60">
        <f>LN(1+Table1[[#This Row],[Saturation]])</f>
        <v>4.5942796760390276</v>
      </c>
      <c r="V60">
        <f>LN(1+Table1[[#This Row],[Value]])</f>
        <v>4.3346643721179703</v>
      </c>
    </row>
    <row r="61" spans="1:23" x14ac:dyDescent="0.3">
      <c r="A61">
        <v>1</v>
      </c>
      <c r="B61">
        <v>190.906311107596</v>
      </c>
      <c r="C61">
        <v>145.77898945897601</v>
      </c>
      <c r="D61">
        <v>2.84260339962219</v>
      </c>
      <c r="E61">
        <v>62.9797482066379</v>
      </c>
      <c r="F61">
        <v>6.4056941998533796</v>
      </c>
      <c r="G61">
        <v>67.009915212309494</v>
      </c>
      <c r="H61">
        <v>45.602542181494996</v>
      </c>
      <c r="I61">
        <v>98.510995585672305</v>
      </c>
      <c r="J61">
        <v>74.865220042194494</v>
      </c>
      <c r="K61" t="s">
        <v>1</v>
      </c>
      <c r="L61" s="2">
        <v>2.2800000000000001E-2</v>
      </c>
      <c r="M61">
        <v>0</v>
      </c>
      <c r="N61">
        <f>LN(1+Table1[[#This Row],[Redness]])</f>
        <v>5.2570072899538314</v>
      </c>
      <c r="O61">
        <f>LN(1+Table1[[#This Row],[Greeness]])</f>
        <v>4.988927982360801</v>
      </c>
      <c r="P61">
        <f>LN(1+Table1[[#This Row],[Blueness]])</f>
        <v>1.3461501055343226</v>
      </c>
      <c r="Q61">
        <f>LN(1+Table1[[#This Row],[L* lab]])</f>
        <v>4.1585665990125014</v>
      </c>
      <c r="R61">
        <f>LN(1+Table1[[#This Row],[a* lab]]+128)</f>
        <v>4.9082754142456997</v>
      </c>
      <c r="S61">
        <f>LN(1+Table1[[#This Row],[b* lab]]+128)</f>
        <v>5.2781652457689026</v>
      </c>
      <c r="T61">
        <f>LN(1+Table1[[#This Row],[Hue]])</f>
        <v>3.8416550928945914</v>
      </c>
      <c r="U61">
        <f>LN(1+Table1[[#This Row],[Saturation]])</f>
        <v>4.60026814645766</v>
      </c>
      <c r="V61">
        <f>LN(1+Table1[[#This Row],[Value]])</f>
        <v>4.3289583454171359</v>
      </c>
    </row>
    <row r="62" spans="1:23" x14ac:dyDescent="0.3">
      <c r="A62">
        <v>10</v>
      </c>
      <c r="B62">
        <v>181.141866663331</v>
      </c>
      <c r="C62">
        <v>145.37685621602</v>
      </c>
      <c r="D62">
        <v>4.9671783357625898</v>
      </c>
      <c r="E62">
        <v>61.843681934104701</v>
      </c>
      <c r="F62">
        <v>2.2366180140614</v>
      </c>
      <c r="G62">
        <v>65.4133296267877</v>
      </c>
      <c r="H62">
        <v>47.819472551875997</v>
      </c>
      <c r="I62">
        <v>97.257851855421904</v>
      </c>
      <c r="J62">
        <v>71.036026142482797</v>
      </c>
      <c r="K62" t="s">
        <v>1</v>
      </c>
      <c r="L62" s="2">
        <v>0.22800000000000001</v>
      </c>
      <c r="M62">
        <v>0</v>
      </c>
      <c r="N62">
        <f>LN(1+Table1[[#This Row],[Redness]])</f>
        <v>5.2047858705956171</v>
      </c>
      <c r="O62">
        <f>LN(1+Table1[[#This Row],[Greeness]])</f>
        <v>4.9861845030741616</v>
      </c>
      <c r="P62">
        <f>LN(1+Table1[[#This Row],[Blueness]])</f>
        <v>1.7862741750989664</v>
      </c>
      <c r="Q62">
        <f>LN(1+Table1[[#This Row],[L* lab]])</f>
        <v>4.1406504038750489</v>
      </c>
      <c r="R62">
        <f>LN(1+Table1[[#This Row],[a* lab]]+128)</f>
        <v>4.8770019382855603</v>
      </c>
      <c r="S62">
        <f>LN(1+Table1[[#This Row],[b* lab]]+128)</f>
        <v>5.2699864577146895</v>
      </c>
      <c r="T62">
        <f>LN(1+Table1[[#This Row],[Hue]])</f>
        <v>3.8881292609710965</v>
      </c>
      <c r="U62">
        <f>LN(1+Table1[[#This Row],[Saturation]])</f>
        <v>4.5875951646596995</v>
      </c>
      <c r="V62">
        <f>LN(1+Table1[[#This Row],[Value]])</f>
        <v>4.2771663569662248</v>
      </c>
    </row>
    <row r="63" spans="1:23" x14ac:dyDescent="0.3">
      <c r="A63">
        <v>10</v>
      </c>
      <c r="B63">
        <v>181.56302221887901</v>
      </c>
      <c r="C63">
        <v>145.67107837211699</v>
      </c>
      <c r="D63">
        <v>5.4548119270798896</v>
      </c>
      <c r="E63">
        <v>61.965673272526899</v>
      </c>
      <c r="F63">
        <v>2.2735238702174398</v>
      </c>
      <c r="G63">
        <v>65.450470342691801</v>
      </c>
      <c r="H63">
        <v>47.771628436644299</v>
      </c>
      <c r="I63">
        <v>96.9956371840385</v>
      </c>
      <c r="J63">
        <v>71.201185183874202</v>
      </c>
      <c r="K63" t="s">
        <v>1</v>
      </c>
      <c r="L63" s="2">
        <v>0.22800000000000001</v>
      </c>
      <c r="M63">
        <v>0</v>
      </c>
      <c r="N63">
        <f>LN(1+Table1[[#This Row],[Redness]])</f>
        <v>5.2070954406375574</v>
      </c>
      <c r="O63">
        <f>LN(1+Table1[[#This Row],[Greeness]])</f>
        <v>4.9881925176016972</v>
      </c>
      <c r="P63">
        <f>LN(1+Table1[[#This Row],[Blueness]])</f>
        <v>1.8648258878679302</v>
      </c>
      <c r="Q63">
        <f>LN(1+Table1[[#This Row],[L* lab]])</f>
        <v>4.1425897092065957</v>
      </c>
      <c r="R63">
        <f>LN(1+Table1[[#This Row],[a* lab]]+128)</f>
        <v>4.8772831148994182</v>
      </c>
      <c r="S63">
        <f>LN(1+Table1[[#This Row],[b* lab]]+128)</f>
        <v>5.2701774794349934</v>
      </c>
      <c r="T63">
        <f>LN(1+Table1[[#This Row],[Hue]])</f>
        <v>3.8871487592946092</v>
      </c>
      <c r="U63">
        <f>LN(1+Table1[[#This Row],[Saturation]])</f>
        <v>4.584922959149373</v>
      </c>
      <c r="V63">
        <f>LN(1+Table1[[#This Row],[Value]])</f>
        <v>4.2794564610531678</v>
      </c>
    </row>
    <row r="64" spans="1:23" x14ac:dyDescent="0.3">
      <c r="A64">
        <v>10</v>
      </c>
      <c r="B64">
        <v>181.99804444109299</v>
      </c>
      <c r="C64">
        <v>145.83250055806101</v>
      </c>
      <c r="D64">
        <v>5.0900200461527696</v>
      </c>
      <c r="E64">
        <v>62.052988050803698</v>
      </c>
      <c r="F64">
        <v>2.37823239847561</v>
      </c>
      <c r="G64">
        <v>65.586966819423097</v>
      </c>
      <c r="H64">
        <v>47.734119803759398</v>
      </c>
      <c r="I64">
        <v>97.203255638386594</v>
      </c>
      <c r="J64">
        <v>71.371782133762096</v>
      </c>
      <c r="K64" t="s">
        <v>1</v>
      </c>
      <c r="L64" s="2">
        <v>0.22800000000000001</v>
      </c>
      <c r="M64">
        <v>0</v>
      </c>
      <c r="N64">
        <f>LN(1+Table1[[#This Row],[Redness]])</f>
        <v>5.209475466670078</v>
      </c>
      <c r="O64">
        <f>LN(1+Table1[[#This Row],[Greeness]])</f>
        <v>4.9892924851237845</v>
      </c>
      <c r="P64">
        <f>LN(1+Table1[[#This Row],[Blueness]])</f>
        <v>1.8066513733670893</v>
      </c>
      <c r="Q64">
        <f>LN(1+Table1[[#This Row],[L* lab]])</f>
        <v>4.1439754530532991</v>
      </c>
      <c r="R64">
        <f>LN(1+Table1[[#This Row],[a* lab]]+128)</f>
        <v>4.8780804332596137</v>
      </c>
      <c r="S64">
        <f>LN(1+Table1[[#This Row],[b* lab]]+128)</f>
        <v>5.2708791933025738</v>
      </c>
      <c r="T64">
        <f>LN(1+Table1[[#This Row],[Hue]])</f>
        <v>3.8863793967613853</v>
      </c>
      <c r="U64">
        <f>LN(1+Table1[[#This Row],[Saturation]])</f>
        <v>4.5870393679512604</v>
      </c>
      <c r="V64">
        <f>LN(1+Table1[[#This Row],[Value]])</f>
        <v>4.2818164738859075</v>
      </c>
    </row>
    <row r="65" spans="1:23" x14ac:dyDescent="0.3">
      <c r="A65">
        <v>10</v>
      </c>
      <c r="B65">
        <v>180.54666666334199</v>
      </c>
      <c r="C65">
        <v>143.999967636582</v>
      </c>
      <c r="D65">
        <v>3.9999109750781399</v>
      </c>
      <c r="E65">
        <v>61.417549679378503</v>
      </c>
      <c r="F65">
        <v>2.7055752640956001</v>
      </c>
      <c r="G65">
        <v>65.222795289607205</v>
      </c>
      <c r="H65">
        <v>47.579483219292101</v>
      </c>
      <c r="I65">
        <v>97.784555622654196</v>
      </c>
      <c r="J65">
        <v>70.802614377781296</v>
      </c>
      <c r="K65" t="s">
        <v>1</v>
      </c>
      <c r="L65" s="2">
        <v>0.22800000000000001</v>
      </c>
      <c r="M65">
        <v>0</v>
      </c>
      <c r="N65">
        <f>LN(1+Table1[[#This Row],[Redness]])</f>
        <v>5.2015127372585317</v>
      </c>
      <c r="O65">
        <f>LN(1+Table1[[#This Row],[Greeness]])</f>
        <v>4.9767335192245632</v>
      </c>
      <c r="P65">
        <f>LN(1+Table1[[#This Row],[Blueness]])</f>
        <v>1.6094201072912178</v>
      </c>
      <c r="Q65">
        <f>LN(1+Table1[[#This Row],[L* lab]])</f>
        <v>4.1338464806952944</v>
      </c>
      <c r="R65">
        <f>LN(1+Table1[[#This Row],[a* lab]]+128)</f>
        <v>4.8805689409139275</v>
      </c>
      <c r="S65">
        <f>LN(1+Table1[[#This Row],[b* lab]]+128)</f>
        <v>5.2690059294506897</v>
      </c>
      <c r="T65">
        <f>LN(1+Table1[[#This Row],[Hue]])</f>
        <v>3.8832012857918814</v>
      </c>
      <c r="U65">
        <f>LN(1+Table1[[#This Row],[Saturation]])</f>
        <v>4.5929412729258754</v>
      </c>
      <c r="V65">
        <f>LN(1+Table1[[#This Row],[Value]])</f>
        <v>4.2739208873380941</v>
      </c>
    </row>
    <row r="66" spans="1:23" x14ac:dyDescent="0.3">
      <c r="A66">
        <v>10</v>
      </c>
      <c r="B66">
        <v>180.65919999667301</v>
      </c>
      <c r="C66">
        <v>144.0997009475</v>
      </c>
      <c r="D66">
        <v>4.09964208872342</v>
      </c>
      <c r="E66">
        <v>61.455688043971797</v>
      </c>
      <c r="F66">
        <v>2.7036565655486999</v>
      </c>
      <c r="G66">
        <v>65.241415269225897</v>
      </c>
      <c r="H66">
        <v>47.576034008342901</v>
      </c>
      <c r="I66">
        <v>97.730731626842697</v>
      </c>
      <c r="J66">
        <v>70.846745096734693</v>
      </c>
      <c r="K66" t="s">
        <v>1</v>
      </c>
      <c r="L66" s="2">
        <v>0.22800000000000001</v>
      </c>
      <c r="M66">
        <v>0</v>
      </c>
      <c r="N66">
        <f>LN(1+Table1[[#This Row],[Redness]])</f>
        <v>5.2021324042147228</v>
      </c>
      <c r="O66">
        <f>LN(1+Table1[[#This Row],[Greeness]])</f>
        <v>4.97742109887837</v>
      </c>
      <c r="P66">
        <f>LN(1+Table1[[#This Row],[Blueness]])</f>
        <v>1.6291703585859589</v>
      </c>
      <c r="Q66">
        <f>LN(1+Table1[[#This Row],[L* lab]])</f>
        <v>4.1344573139927165</v>
      </c>
      <c r="R66">
        <f>LN(1+Table1[[#This Row],[a* lab]]+128)</f>
        <v>4.8805543727187759</v>
      </c>
      <c r="S66">
        <f>LN(1+Table1[[#This Row],[b* lab]]+128)</f>
        <v>5.2691017940329434</v>
      </c>
      <c r="T66">
        <f>LN(1+Table1[[#This Row],[Hue]])</f>
        <v>3.8831302818787932</v>
      </c>
      <c r="U66">
        <f>LN(1+Table1[[#This Row],[Saturation]])</f>
        <v>4.592396261976158</v>
      </c>
      <c r="V66">
        <f>LN(1+Table1[[#This Row],[Value]])</f>
        <v>4.2745353101312507</v>
      </c>
    </row>
    <row r="67" spans="1:23" x14ac:dyDescent="0.3">
      <c r="A67">
        <v>10</v>
      </c>
      <c r="B67">
        <v>181.69386666332099</v>
      </c>
      <c r="C67">
        <v>144.69383414730501</v>
      </c>
      <c r="D67">
        <v>4.6937621988883604</v>
      </c>
      <c r="E67">
        <v>61.7210386810358</v>
      </c>
      <c r="F67">
        <v>2.8565183445843498</v>
      </c>
      <c r="G67">
        <v>65.3928821837833</v>
      </c>
      <c r="H67">
        <v>47.457623498707697</v>
      </c>
      <c r="I67">
        <v>97.416664477956203</v>
      </c>
      <c r="J67">
        <v>71.2524967307141</v>
      </c>
      <c r="K67" t="s">
        <v>1</v>
      </c>
      <c r="L67" s="2">
        <v>0.22800000000000001</v>
      </c>
      <c r="M67">
        <v>0</v>
      </c>
      <c r="N67">
        <f>LN(1+Table1[[#This Row],[Redness]])</f>
        <v>5.2078118922858163</v>
      </c>
      <c r="O67">
        <f>LN(1+Table1[[#This Row],[Greeness]])</f>
        <v>4.9815073934814302</v>
      </c>
      <c r="P67">
        <f>LN(1+Table1[[#This Row],[Blueness]])</f>
        <v>1.739371224528927</v>
      </c>
      <c r="Q67">
        <f>LN(1+Table1[[#This Row],[L* lab]])</f>
        <v>4.1386969365082766</v>
      </c>
      <c r="R67">
        <f>LN(1+Table1[[#This Row],[a* lab]]+128)</f>
        <v>4.8817143491547306</v>
      </c>
      <c r="S67">
        <f>LN(1+Table1[[#This Row],[b* lab]]+128)</f>
        <v>5.2698812770750694</v>
      </c>
      <c r="T67">
        <f>LN(1+Table1[[#This Row],[Hue]])</f>
        <v>3.8806896737134604</v>
      </c>
      <c r="U67">
        <f>LN(1+Table1[[#This Row],[Saturation]])</f>
        <v>4.5892101441701358</v>
      </c>
      <c r="V67">
        <f>LN(1+Table1[[#This Row],[Value]])</f>
        <v>4.2801668832219608</v>
      </c>
    </row>
    <row r="68" spans="1:23" x14ac:dyDescent="0.3">
      <c r="A68">
        <v>10</v>
      </c>
      <c r="B68">
        <v>181.39306666332601</v>
      </c>
      <c r="C68">
        <v>144.393034214908</v>
      </c>
      <c r="D68">
        <v>4.3929688935624798</v>
      </c>
      <c r="E68">
        <v>61.610067922335404</v>
      </c>
      <c r="F68">
        <v>2.8804143404990099</v>
      </c>
      <c r="G68">
        <v>65.343041871421804</v>
      </c>
      <c r="H68">
        <v>47.457623047232403</v>
      </c>
      <c r="I68">
        <v>97.578204628010297</v>
      </c>
      <c r="J68">
        <v>71.134535946402593</v>
      </c>
      <c r="K68" t="s">
        <v>1</v>
      </c>
      <c r="L68" s="2">
        <v>0.22800000000000001</v>
      </c>
      <c r="M68">
        <v>0</v>
      </c>
      <c r="N68">
        <f>LN(1+Table1[[#This Row],[Redness]])</f>
        <v>5.2061640652035459</v>
      </c>
      <c r="O68">
        <f>LN(1+Table1[[#This Row],[Greeness]])</f>
        <v>4.9794406562138978</v>
      </c>
      <c r="P68">
        <f>LN(1+Table1[[#This Row],[Blueness]])</f>
        <v>1.6850960484101187</v>
      </c>
      <c r="Q68">
        <f>LN(1+Table1[[#This Row],[L* lab]])</f>
        <v>4.1369260946046644</v>
      </c>
      <c r="R68">
        <f>LN(1+Table1[[#This Row],[a* lab]]+128)</f>
        <v>4.8818955599979503</v>
      </c>
      <c r="S68">
        <f>LN(1+Table1[[#This Row],[b* lab]]+128)</f>
        <v>5.269624854606497</v>
      </c>
      <c r="T68">
        <f>LN(1+Table1[[#This Row],[Hue]])</f>
        <v>3.8806896643965509</v>
      </c>
      <c r="U68">
        <f>LN(1+Table1[[#This Row],[Saturation]])</f>
        <v>4.5908501887763302</v>
      </c>
      <c r="V68">
        <f>LN(1+Table1[[#This Row],[Value]])</f>
        <v>4.2785329302503028</v>
      </c>
    </row>
    <row r="69" spans="1:23" x14ac:dyDescent="0.3">
      <c r="A69">
        <v>10</v>
      </c>
      <c r="B69">
        <v>180.99999999666699</v>
      </c>
      <c r="C69">
        <v>143.999967636582</v>
      </c>
      <c r="D69">
        <v>3.9999109750781399</v>
      </c>
      <c r="E69">
        <v>61.464977075017799</v>
      </c>
      <c r="F69">
        <v>2.9116430698875799</v>
      </c>
      <c r="G69">
        <v>65.278458359457801</v>
      </c>
      <c r="H69">
        <v>47.457622457272599</v>
      </c>
      <c r="I69">
        <v>97.790104433617799</v>
      </c>
      <c r="J69">
        <v>70.980392155555805</v>
      </c>
      <c r="K69" t="s">
        <v>1</v>
      </c>
      <c r="L69" s="2">
        <v>0.22800000000000001</v>
      </c>
      <c r="M69">
        <v>0</v>
      </c>
      <c r="N69">
        <f>LN(1+Table1[[#This Row],[Redness]])</f>
        <v>5.2040066870584818</v>
      </c>
      <c r="O69">
        <f>LN(1+Table1[[#This Row],[Greeness]])</f>
        <v>4.9767335192245632</v>
      </c>
      <c r="P69">
        <f>LN(1+Table1[[#This Row],[Blueness]])</f>
        <v>1.6094201072912178</v>
      </c>
      <c r="Q69">
        <f>LN(1+Table1[[#This Row],[L* lab]])</f>
        <v>4.1346060328784873</v>
      </c>
      <c r="R69">
        <f>LN(1+Table1[[#This Row],[a* lab]]+128)</f>
        <v>4.882132327775123</v>
      </c>
      <c r="S69">
        <f>LN(1+Table1[[#This Row],[b* lab]]+128)</f>
        <v>5.2692924822981189</v>
      </c>
      <c r="T69">
        <f>LN(1+Table1[[#This Row],[Hue]])</f>
        <v>3.8806896522217933</v>
      </c>
      <c r="U69">
        <f>LN(1+Table1[[#This Row],[Saturation]])</f>
        <v>4.5929974421832434</v>
      </c>
      <c r="V69">
        <f>LN(1+Table1[[#This Row],[Value]])</f>
        <v>4.2763937507543517</v>
      </c>
    </row>
    <row r="70" spans="1:23" x14ac:dyDescent="0.3">
      <c r="A70">
        <v>10</v>
      </c>
      <c r="B70">
        <v>180.89848888555801</v>
      </c>
      <c r="C70">
        <v>143.898456548285</v>
      </c>
      <c r="D70">
        <v>3.8984021232217101</v>
      </c>
      <c r="E70">
        <v>61.427456405691302</v>
      </c>
      <c r="F70">
        <v>2.91970960197964</v>
      </c>
      <c r="G70">
        <v>65.262126352771602</v>
      </c>
      <c r="H70">
        <v>47.457622304913102</v>
      </c>
      <c r="I70">
        <v>97.844978060768597</v>
      </c>
      <c r="J70">
        <v>70.940583876689402</v>
      </c>
      <c r="K70" t="s">
        <v>1</v>
      </c>
      <c r="L70" s="2">
        <v>0.22800000000000001</v>
      </c>
      <c r="M70">
        <v>0</v>
      </c>
      <c r="N70">
        <f>LN(1+Table1[[#This Row],[Redness]])</f>
        <v>5.2034487780984646</v>
      </c>
      <c r="O70">
        <f>LN(1+Table1[[#This Row],[Greeness]])</f>
        <v>4.9760331974292225</v>
      </c>
      <c r="P70">
        <f>LN(1+Table1[[#This Row],[Blueness]])</f>
        <v>1.5889090546336022</v>
      </c>
      <c r="Q70">
        <f>LN(1+Table1[[#This Row],[L* lab]])</f>
        <v>4.1340051851023709</v>
      </c>
      <c r="R70">
        <f>LN(1+Table1[[#This Row],[a* lab]]+128)</f>
        <v>4.8821934769297846</v>
      </c>
      <c r="S70">
        <f>LN(1+Table1[[#This Row],[b* lab]]+128)</f>
        <v>5.2692084138257966</v>
      </c>
      <c r="T70">
        <f>LN(1+Table1[[#This Row],[Hue]])</f>
        <v>3.8806896490776133</v>
      </c>
      <c r="U70">
        <f>LN(1+Table1[[#This Row],[Saturation]])</f>
        <v>4.5935527446919711</v>
      </c>
      <c r="V70">
        <f>LN(1+Table1[[#This Row],[Value]])</f>
        <v>4.2758405543964741</v>
      </c>
    </row>
    <row r="71" spans="1:23" x14ac:dyDescent="0.3">
      <c r="A71">
        <v>10</v>
      </c>
      <c r="B71">
        <v>181.245688885551</v>
      </c>
      <c r="C71">
        <v>144.11338983331299</v>
      </c>
      <c r="D71">
        <v>4.6686960901112</v>
      </c>
      <c r="E71">
        <v>61.521966733641001</v>
      </c>
      <c r="F71">
        <v>2.9698057047072499</v>
      </c>
      <c r="G71">
        <v>65.231870942800299</v>
      </c>
      <c r="H71">
        <v>47.382626083595603</v>
      </c>
      <c r="I71">
        <v>97.424106405609805</v>
      </c>
      <c r="J71">
        <v>71.076740739431997</v>
      </c>
      <c r="K71" t="s">
        <v>1</v>
      </c>
      <c r="L71" s="2">
        <v>0.22800000000000001</v>
      </c>
      <c r="M71">
        <v>0</v>
      </c>
      <c r="N71">
        <f>LN(1+Table1[[#This Row],[Redness]])</f>
        <v>5.2053557156600192</v>
      </c>
      <c r="O71">
        <f>LN(1+Table1[[#This Row],[Greeness]])</f>
        <v>4.9775154356692175</v>
      </c>
      <c r="P71">
        <f>LN(1+Table1[[#This Row],[Blueness]])</f>
        <v>1.7349591248226295</v>
      </c>
      <c r="Q71">
        <f>LN(1+Table1[[#This Row],[L* lab]])</f>
        <v>4.1355179627302947</v>
      </c>
      <c r="R71">
        <f>LN(1+Table1[[#This Row],[a* lab]]+128)</f>
        <v>4.8825731517590114</v>
      </c>
      <c r="S71">
        <f>LN(1+Table1[[#This Row],[b* lab]]+128)</f>
        <v>5.2690526564125904</v>
      </c>
      <c r="T71">
        <f>LN(1+Table1[[#This Row],[Hue]])</f>
        <v>3.8791407840641838</v>
      </c>
      <c r="U71">
        <f>LN(1+Table1[[#This Row],[Saturation]])</f>
        <v>4.5892857578514255</v>
      </c>
      <c r="V71">
        <f>LN(1+Table1[[#This Row],[Value]])</f>
        <v>4.2777313950112692</v>
      </c>
    </row>
    <row r="72" spans="1:23" x14ac:dyDescent="0.3">
      <c r="A72">
        <v>10</v>
      </c>
      <c r="B72">
        <v>180.897244441113</v>
      </c>
      <c r="C72">
        <v>143.51996774445999</v>
      </c>
      <c r="D72">
        <v>5.3447699318099602</v>
      </c>
      <c r="E72">
        <v>61.331238134528199</v>
      </c>
      <c r="F72">
        <v>3.1447190601834101</v>
      </c>
      <c r="G72">
        <v>64.977237011365304</v>
      </c>
      <c r="H72">
        <v>47.225263511279302</v>
      </c>
      <c r="I72">
        <v>97.045411084993106</v>
      </c>
      <c r="J72">
        <v>70.940095859260197</v>
      </c>
      <c r="K72" t="s">
        <v>1</v>
      </c>
      <c r="L72" s="2">
        <v>0.22800000000000001</v>
      </c>
      <c r="M72">
        <v>0</v>
      </c>
      <c r="N72">
        <f>LN(1+Table1[[#This Row],[Redness]])</f>
        <v>5.2034419366523954</v>
      </c>
      <c r="O72">
        <f>LN(1+Table1[[#This Row],[Greeness]])</f>
        <v>4.9734176830885755</v>
      </c>
      <c r="P72">
        <f>LN(1+Table1[[#This Row],[Blueness]])</f>
        <v>1.8476308407469264</v>
      </c>
      <c r="Q72">
        <f>LN(1+Table1[[#This Row],[L* lab]])</f>
        <v>4.1324627148064978</v>
      </c>
      <c r="R72">
        <f>LN(1+Table1[[#This Row],[a* lab]]+128)</f>
        <v>4.8838976785430175</v>
      </c>
      <c r="S72">
        <f>LN(1+Table1[[#This Row],[b* lab]]+128)</f>
        <v>5.2677408171860769</v>
      </c>
      <c r="T72">
        <f>LN(1+Table1[[#This Row],[Hue]])</f>
        <v>3.8758830229817227</v>
      </c>
      <c r="U72">
        <f>LN(1+Table1[[#This Row],[Saturation]])</f>
        <v>4.585430749762244</v>
      </c>
      <c r="V72">
        <f>LN(1+Table1[[#This Row],[Value]])</f>
        <v>4.2758337707556118</v>
      </c>
    </row>
    <row r="73" spans="1:23" x14ac:dyDescent="0.3">
      <c r="A73">
        <v>10</v>
      </c>
      <c r="B73">
        <v>180.94222221889001</v>
      </c>
      <c r="C73">
        <v>143.53863440693101</v>
      </c>
      <c r="D73">
        <v>5.8903577888106202</v>
      </c>
      <c r="E73">
        <v>61.341966833763102</v>
      </c>
      <c r="F73">
        <v>3.1626308724829602</v>
      </c>
      <c r="G73">
        <v>64.906270522719595</v>
      </c>
      <c r="H73">
        <v>47.179712275421402</v>
      </c>
      <c r="I73">
        <v>96.744619516342098</v>
      </c>
      <c r="J73">
        <v>70.957734203486496</v>
      </c>
      <c r="K73" t="s">
        <v>1</v>
      </c>
      <c r="L73" s="2">
        <v>0.22800000000000001</v>
      </c>
      <c r="M73">
        <v>0</v>
      </c>
      <c r="N73">
        <f>LN(1+Table1[[#This Row],[Redness]])</f>
        <v>5.203689176339827</v>
      </c>
      <c r="O73">
        <f>LN(1+Table1[[#This Row],[Greeness]])</f>
        <v>4.9735468379544612</v>
      </c>
      <c r="P73">
        <f>LN(1+Table1[[#This Row],[Blueness]])</f>
        <v>1.9301230123871327</v>
      </c>
      <c r="Q73">
        <f>LN(1+Table1[[#This Row],[L* lab]])</f>
        <v>4.1326348239499842</v>
      </c>
      <c r="R73">
        <f>LN(1+Table1[[#This Row],[a* lab]]+128)</f>
        <v>4.8840332162973148</v>
      </c>
      <c r="S73">
        <f>LN(1+Table1[[#This Row],[b* lab]]+128)</f>
        <v>5.2673749006773356</v>
      </c>
      <c r="T73">
        <f>LN(1+Table1[[#This Row],[Hue]])</f>
        <v>3.874938025301343</v>
      </c>
      <c r="U73">
        <f>LN(1+Table1[[#This Row],[Saturation]])</f>
        <v>4.5823581540394587</v>
      </c>
      <c r="V73">
        <f>LN(1+Table1[[#This Row],[Value]])</f>
        <v>4.2760789216978727</v>
      </c>
    </row>
    <row r="74" spans="1:23" x14ac:dyDescent="0.3">
      <c r="A74">
        <v>10</v>
      </c>
      <c r="B74">
        <v>191.57534999999999</v>
      </c>
      <c r="C74">
        <v>145.04282850000001</v>
      </c>
      <c r="D74">
        <v>7.074103665</v>
      </c>
      <c r="E74">
        <v>62.860844620000002</v>
      </c>
      <c r="F74">
        <v>7.1942668540000003</v>
      </c>
      <c r="G74">
        <v>66.219393929999995</v>
      </c>
      <c r="H74">
        <v>44.867574910000002</v>
      </c>
      <c r="I74">
        <v>96.307404020000007</v>
      </c>
      <c r="J74">
        <v>75.127588230000001</v>
      </c>
      <c r="K74" t="s">
        <v>1</v>
      </c>
      <c r="L74" s="1">
        <v>0.22800000000000001</v>
      </c>
      <c r="M74">
        <v>0</v>
      </c>
      <c r="N74">
        <f>LN(1+Table1[[#This Row],[Redness]])</f>
        <v>5.2604875057110894</v>
      </c>
      <c r="O74">
        <f>LN(1+Table1[[#This Row],[Greeness]])</f>
        <v>4.9838999245812543</v>
      </c>
      <c r="P74">
        <f>LN(1+Table1[[#This Row],[Blueness]])</f>
        <v>2.0886618617092365</v>
      </c>
      <c r="Q74">
        <f>LN(1+Table1[[#This Row],[L* lab]])</f>
        <v>4.1567064133188083</v>
      </c>
      <c r="R74">
        <f>LN(1+Table1[[#This Row],[a* lab]]+128)</f>
        <v>4.9140822992464859</v>
      </c>
      <c r="S74">
        <f>LN(1+Table1[[#This Row],[b* lab]]+128)</f>
        <v>5.274124023193286</v>
      </c>
      <c r="T74">
        <f>LN(1+Table1[[#This Row],[Hue]])</f>
        <v>3.8257584384519405</v>
      </c>
      <c r="U74">
        <f>LN(1+Table1[[#This Row],[Saturation]])</f>
        <v>4.577875081055379</v>
      </c>
      <c r="V74">
        <f>LN(1+Table1[[#This Row],[Value]])</f>
        <v>4.3324107251893578</v>
      </c>
      <c r="W74" t="s">
        <v>26</v>
      </c>
    </row>
    <row r="75" spans="1:23" x14ac:dyDescent="0.3">
      <c r="A75">
        <v>10</v>
      </c>
      <c r="B75">
        <v>191.34204439999999</v>
      </c>
      <c r="C75">
        <v>144.1906343</v>
      </c>
      <c r="D75">
        <v>4.6328663319999999</v>
      </c>
      <c r="E75">
        <v>62.621162009999999</v>
      </c>
      <c r="F75">
        <v>7.4917730090000001</v>
      </c>
      <c r="G75">
        <v>66.53012536</v>
      </c>
      <c r="H75">
        <v>44.847640380000001</v>
      </c>
      <c r="I75">
        <v>97.578751530000005</v>
      </c>
      <c r="J75">
        <v>75.036095860000003</v>
      </c>
      <c r="K75" t="s">
        <v>1</v>
      </c>
      <c r="L75" s="1">
        <v>0.22800000000000001</v>
      </c>
      <c r="M75">
        <v>0</v>
      </c>
      <c r="N75">
        <f>LN(1+Table1[[#This Row],[Redness]])</f>
        <v>5.2592752683221597</v>
      </c>
      <c r="O75">
        <f>LN(1+Table1[[#This Row],[Greeness]])</f>
        <v>4.978047598244232</v>
      </c>
      <c r="P75">
        <f>LN(1+Table1[[#This Row],[Blueness]])</f>
        <v>1.7286184301795822</v>
      </c>
      <c r="Q75">
        <f>LN(1+Table1[[#This Row],[L* lab]])</f>
        <v>4.1529461510080168</v>
      </c>
      <c r="R75">
        <f>LN(1+Table1[[#This Row],[a* lab]]+128)</f>
        <v>4.9162643418123082</v>
      </c>
      <c r="S75">
        <f>LN(1+Table1[[#This Row],[b* lab]]+128)</f>
        <v>5.2757144614672162</v>
      </c>
      <c r="T75">
        <f>LN(1+Table1[[#This Row],[Hue]])</f>
        <v>3.8253237334741268</v>
      </c>
      <c r="U75">
        <f>LN(1+Table1[[#This Row],[Saturation]])</f>
        <v>4.5908557366606191</v>
      </c>
      <c r="V75">
        <f>LN(1+Table1[[#This Row],[Value]])</f>
        <v>4.3312081730617198</v>
      </c>
      <c r="W75" t="s">
        <v>26</v>
      </c>
    </row>
    <row r="76" spans="1:23" x14ac:dyDescent="0.3">
      <c r="A76">
        <v>10</v>
      </c>
      <c r="B76">
        <v>193.27959999999999</v>
      </c>
      <c r="C76">
        <v>144.1344565</v>
      </c>
      <c r="D76">
        <v>4.7005426039999998</v>
      </c>
      <c r="E76">
        <v>62.81968037</v>
      </c>
      <c r="F76">
        <v>8.4035339929999999</v>
      </c>
      <c r="G76">
        <v>66.712259320000001</v>
      </c>
      <c r="H76">
        <v>44.363541470000001</v>
      </c>
      <c r="I76">
        <v>97.568008930000005</v>
      </c>
      <c r="J76">
        <v>75.795921570000004</v>
      </c>
      <c r="K76" t="s">
        <v>1</v>
      </c>
      <c r="L76" s="1">
        <v>0.22800000000000001</v>
      </c>
      <c r="M76">
        <v>0</v>
      </c>
      <c r="N76">
        <f>LN(1+Table1[[#This Row],[Redness]])</f>
        <v>5.2692983585913398</v>
      </c>
      <c r="O76">
        <f>LN(1+Table1[[#This Row],[Greeness]])</f>
        <v>4.9776605989632099</v>
      </c>
      <c r="P76">
        <f>LN(1+Table1[[#This Row],[Blueness]])</f>
        <v>1.7405613639940838</v>
      </c>
      <c r="Q76">
        <f>LN(1+Table1[[#This Row],[L* lab]])</f>
        <v>4.156061612532949</v>
      </c>
      <c r="R76">
        <f>LN(1+Table1[[#This Row],[a* lab]]+128)</f>
        <v>4.9229220999305543</v>
      </c>
      <c r="S76">
        <f>LN(1+Table1[[#This Row],[b* lab]]+128)</f>
        <v>5.2766455158738399</v>
      </c>
      <c r="T76">
        <f>LN(1+Table1[[#This Row],[Hue]])</f>
        <v>3.8147087311072729</v>
      </c>
      <c r="U76">
        <f>LN(1+Table1[[#This Row],[Saturation]])</f>
        <v>4.5907467559197173</v>
      </c>
      <c r="V76">
        <f>LN(1+Table1[[#This Row],[Value]])</f>
        <v>4.3411515341862383</v>
      </c>
      <c r="W76" t="s">
        <v>26</v>
      </c>
    </row>
    <row r="77" spans="1:23" x14ac:dyDescent="0.3">
      <c r="A77">
        <v>10</v>
      </c>
      <c r="B77">
        <v>189.39068889999999</v>
      </c>
      <c r="C77">
        <v>140.04754629999999</v>
      </c>
      <c r="D77">
        <v>5.5825257510000004</v>
      </c>
      <c r="E77">
        <v>61.351658149999999</v>
      </c>
      <c r="F77">
        <v>8.8951497370000006</v>
      </c>
      <c r="G77">
        <v>65.390913220000002</v>
      </c>
      <c r="H77">
        <v>43.893051839999998</v>
      </c>
      <c r="I77">
        <v>97.052375810000001</v>
      </c>
      <c r="J77">
        <v>74.270858390000001</v>
      </c>
      <c r="K77" t="s">
        <v>1</v>
      </c>
      <c r="L77" s="1">
        <v>0.22800000000000001</v>
      </c>
      <c r="M77">
        <v>0</v>
      </c>
      <c r="N77">
        <f>LN(1+Table1[[#This Row],[Redness]])</f>
        <v>5.2490782183253479</v>
      </c>
      <c r="O77">
        <f>LN(1+Table1[[#This Row],[Greeness]])</f>
        <v>4.9490970413378141</v>
      </c>
      <c r="P77">
        <f>LN(1+Table1[[#This Row],[Blueness]])</f>
        <v>1.8844185244201741</v>
      </c>
      <c r="Q77">
        <f>LN(1+Table1[[#This Row],[L* lab]])</f>
        <v>4.132790265998568</v>
      </c>
      <c r="R77">
        <f>LN(1+Table1[[#This Row],[a* lab]]+128)</f>
        <v>4.926493611860173</v>
      </c>
      <c r="S77">
        <f>LN(1+Table1[[#This Row],[b* lab]]+128)</f>
        <v>5.2698711482383915</v>
      </c>
      <c r="T77">
        <f>LN(1+Table1[[#This Row],[Hue]])</f>
        <v>3.8042830353348354</v>
      </c>
      <c r="U77">
        <f>LN(1+Table1[[#This Row],[Saturation]])</f>
        <v>4.5855017829454336</v>
      </c>
      <c r="V77">
        <f>LN(1+Table1[[#This Row],[Value]])</f>
        <v>4.3210930531264919</v>
      </c>
      <c r="W77" t="s">
        <v>26</v>
      </c>
    </row>
    <row r="78" spans="1:23" x14ac:dyDescent="0.3">
      <c r="A78">
        <v>0</v>
      </c>
      <c r="B78">
        <v>197.820977774135</v>
      </c>
      <c r="C78">
        <v>173.28760549874599</v>
      </c>
      <c r="D78">
        <v>5.1620184437041701</v>
      </c>
      <c r="E78">
        <v>70.866033716285003</v>
      </c>
      <c r="F78">
        <v>-5.2065420639267899</v>
      </c>
      <c r="G78">
        <v>72.6696240369929</v>
      </c>
      <c r="H78">
        <v>52.359543819612</v>
      </c>
      <c r="I78">
        <v>97.390560646405206</v>
      </c>
      <c r="J78">
        <v>77.576854029072607</v>
      </c>
      <c r="K78" t="s">
        <v>5</v>
      </c>
      <c r="L78" s="2">
        <v>0</v>
      </c>
      <c r="M78">
        <v>0</v>
      </c>
      <c r="N78">
        <f>LN(1+Table1[[#This Row],[Redness]])</f>
        <v>5.2924048106581099</v>
      </c>
      <c r="O78">
        <f>LN(1+Table1[[#This Row],[Greeness]])</f>
        <v>5.1607068398354281</v>
      </c>
      <c r="P78">
        <f>LN(1+Table1[[#This Row],[Blueness]])</f>
        <v>1.8184043933060192</v>
      </c>
      <c r="Q78">
        <f>LN(1+Table1[[#This Row],[L* lab]])</f>
        <v>4.2748037430406338</v>
      </c>
      <c r="R78">
        <f>LN(1+Table1[[#This Row],[a* lab]]+128)</f>
        <v>4.8186145150422028</v>
      </c>
      <c r="S78">
        <f>LN(1+Table1[[#This Row],[b* lab]]+128)</f>
        <v>5.306630833901453</v>
      </c>
      <c r="T78">
        <f>LN(1+Table1[[#This Row],[Hue]])</f>
        <v>3.9770528524631032</v>
      </c>
      <c r="U78">
        <f>LN(1+Table1[[#This Row],[Saturation]])</f>
        <v>4.5889448710665945</v>
      </c>
      <c r="V78">
        <f>LN(1+Table1[[#This Row],[Value]])</f>
        <v>4.3640771780663794</v>
      </c>
    </row>
    <row r="79" spans="1:23" x14ac:dyDescent="0.3">
      <c r="A79">
        <v>0</v>
      </c>
      <c r="B79">
        <v>197.62595555191601</v>
      </c>
      <c r="C79">
        <v>173.22840551205101</v>
      </c>
      <c r="D79">
        <v>5.0544652819298497</v>
      </c>
      <c r="E79">
        <v>70.831837217304297</v>
      </c>
      <c r="F79">
        <v>-5.2629081838219403</v>
      </c>
      <c r="G79">
        <v>72.649896506142895</v>
      </c>
      <c r="H79">
        <v>52.398391888957299</v>
      </c>
      <c r="I79">
        <v>97.4424081756801</v>
      </c>
      <c r="J79">
        <v>77.500374726241802</v>
      </c>
      <c r="K79" t="s">
        <v>5</v>
      </c>
      <c r="L79" s="2">
        <v>0</v>
      </c>
      <c r="M79">
        <v>0</v>
      </c>
      <c r="N79">
        <f>LN(1+Table1[[#This Row],[Redness]])</f>
        <v>5.2914234356793726</v>
      </c>
      <c r="O79">
        <f>LN(1+Table1[[#This Row],[Greeness]])</f>
        <v>5.1603671137660712</v>
      </c>
      <c r="P79">
        <f>LN(1+Table1[[#This Row],[Blueness]])</f>
        <v>1.8007960629370023</v>
      </c>
      <c r="Q79">
        <f>LN(1+Table1[[#This Row],[L* lab]])</f>
        <v>4.2743277930574628</v>
      </c>
      <c r="R79">
        <f>LN(1+Table1[[#This Row],[a* lab]]+128)</f>
        <v>4.8181590874521474</v>
      </c>
      <c r="S79">
        <f>LN(1+Table1[[#This Row],[b* lab]]+128)</f>
        <v>5.3065330080841493</v>
      </c>
      <c r="T79">
        <f>LN(1+Table1[[#This Row],[Hue]])</f>
        <v>3.9777806310736983</v>
      </c>
      <c r="U79">
        <f>LN(1+Table1[[#This Row],[Saturation]])</f>
        <v>4.5894716886092484</v>
      </c>
      <c r="V79">
        <f>LN(1+Table1[[#This Row],[Value]])</f>
        <v>4.3631033983596677</v>
      </c>
    </row>
    <row r="80" spans="1:23" x14ac:dyDescent="0.3">
      <c r="A80">
        <v>0</v>
      </c>
      <c r="B80">
        <v>197.47573332969699</v>
      </c>
      <c r="C80">
        <v>173.10236109593501</v>
      </c>
      <c r="D80">
        <v>4.7083396522197498</v>
      </c>
      <c r="E80">
        <v>70.7839208717795</v>
      </c>
      <c r="F80">
        <v>-5.2672939620639099</v>
      </c>
      <c r="G80">
        <v>72.648409695116101</v>
      </c>
      <c r="H80">
        <v>52.4136426491687</v>
      </c>
      <c r="I80">
        <v>97.6157376033849</v>
      </c>
      <c r="J80">
        <v>77.441464050861597</v>
      </c>
      <c r="K80" t="s">
        <v>5</v>
      </c>
      <c r="L80" s="2">
        <v>0</v>
      </c>
      <c r="M80">
        <v>0</v>
      </c>
      <c r="N80">
        <f>LN(1+Table1[[#This Row],[Redness]])</f>
        <v>5.2906668424258498</v>
      </c>
      <c r="O80">
        <f>LN(1+Table1[[#This Row],[Greeness]])</f>
        <v>5.1596434084049587</v>
      </c>
      <c r="P80">
        <f>LN(1+Table1[[#This Row],[Blueness]])</f>
        <v>1.7419282024377709</v>
      </c>
      <c r="Q80">
        <f>LN(1+Table1[[#This Row],[L* lab]])</f>
        <v>4.2736605076851566</v>
      </c>
      <c r="R80">
        <f>LN(1+Table1[[#This Row],[a* lab]]+128)</f>
        <v>4.8181236424945766</v>
      </c>
      <c r="S80">
        <f>LN(1+Table1[[#This Row],[b* lab]]+128)</f>
        <v>5.3065256348271639</v>
      </c>
      <c r="T80">
        <f>LN(1+Table1[[#This Row],[Hue]])</f>
        <v>3.9780661936581203</v>
      </c>
      <c r="U80">
        <f>LN(1+Table1[[#This Row],[Saturation]])</f>
        <v>4.5912308594541731</v>
      </c>
      <c r="V80">
        <f>LN(1+Table1[[#This Row],[Value]])</f>
        <v>4.3623526657493441</v>
      </c>
    </row>
    <row r="81" spans="1:23" x14ac:dyDescent="0.3">
      <c r="A81">
        <v>0</v>
      </c>
      <c r="B81">
        <v>197.726222218581</v>
      </c>
      <c r="C81">
        <v>173.59604987386899</v>
      </c>
      <c r="D81">
        <v>4.5094107463925299</v>
      </c>
      <c r="E81">
        <v>70.937764299828004</v>
      </c>
      <c r="F81">
        <v>-5.4175485681901101</v>
      </c>
      <c r="G81">
        <v>72.794366955844893</v>
      </c>
      <c r="H81">
        <v>52.506809683632902</v>
      </c>
      <c r="I81">
        <v>97.719366356270299</v>
      </c>
      <c r="J81">
        <v>77.539694987678999</v>
      </c>
      <c r="K81" t="s">
        <v>5</v>
      </c>
      <c r="L81" s="2">
        <v>0</v>
      </c>
      <c r="M81">
        <v>0</v>
      </c>
      <c r="N81">
        <f>LN(1+Table1[[#This Row],[Redness]])</f>
        <v>5.2919281097413373</v>
      </c>
      <c r="O81">
        <f>LN(1+Table1[[#This Row],[Greeness]])</f>
        <v>5.1624750192885758</v>
      </c>
      <c r="P81">
        <f>LN(1+Table1[[#This Row],[Blueness]])</f>
        <v>1.7064576748675697</v>
      </c>
      <c r="Q81">
        <f>LN(1+Table1[[#This Row],[L* lab]])</f>
        <v>4.2758013604955503</v>
      </c>
      <c r="R81">
        <f>LN(1+Table1[[#This Row],[a* lab]]+128)</f>
        <v>4.8169085562366201</v>
      </c>
      <c r="S81">
        <f>LN(1+Table1[[#This Row],[b* lab]]+128)</f>
        <v>5.3072491935350836</v>
      </c>
      <c r="T81">
        <f>LN(1+Table1[[#This Row],[Hue]])</f>
        <v>3.979808929608287</v>
      </c>
      <c r="U81">
        <f>LN(1+Table1[[#This Row],[Saturation]])</f>
        <v>4.5922811415411617</v>
      </c>
      <c r="V81">
        <f>LN(1+Table1[[#This Row],[Value]])</f>
        <v>4.3636041656139168</v>
      </c>
    </row>
    <row r="82" spans="1:23" x14ac:dyDescent="0.3">
      <c r="A82">
        <v>0</v>
      </c>
      <c r="B82">
        <v>197.88088888524501</v>
      </c>
      <c r="C82">
        <v>173.88084980986099</v>
      </c>
      <c r="D82">
        <v>5.5877867452735996</v>
      </c>
      <c r="E82">
        <v>71.029198815223097</v>
      </c>
      <c r="F82">
        <v>-5.4862706282970404</v>
      </c>
      <c r="G82">
        <v>72.741471989075194</v>
      </c>
      <c r="H82">
        <v>52.511419658335797</v>
      </c>
      <c r="I82">
        <v>97.176186757219298</v>
      </c>
      <c r="J82">
        <v>77.600348582449101</v>
      </c>
      <c r="K82" t="s">
        <v>5</v>
      </c>
      <c r="L82" s="2">
        <v>0</v>
      </c>
      <c r="M82">
        <v>0</v>
      </c>
      <c r="N82">
        <f>LN(1+Table1[[#This Row],[Redness]])</f>
        <v>5.2927060972075868</v>
      </c>
      <c r="O82">
        <f>LN(1+Table1[[#This Row],[Greeness]])</f>
        <v>5.1641048838049226</v>
      </c>
      <c r="P82">
        <f>LN(1+Table1[[#This Row],[Blueness]])</f>
        <v>1.8852174416144192</v>
      </c>
      <c r="Q82">
        <f>LN(1+Table1[[#This Row],[L* lab]])</f>
        <v>4.2770715759076205</v>
      </c>
      <c r="R82">
        <f>LN(1+Table1[[#This Row],[a* lab]]+128)</f>
        <v>4.8163523188908597</v>
      </c>
      <c r="S82">
        <f>LN(1+Table1[[#This Row],[b* lab]]+128)</f>
        <v>5.3069870360661913</v>
      </c>
      <c r="T82">
        <f>LN(1+Table1[[#This Row],[Hue]])</f>
        <v>3.9798950826820967</v>
      </c>
      <c r="U82">
        <f>LN(1+Table1[[#This Row],[Saturation]])</f>
        <v>4.5867636885725176</v>
      </c>
      <c r="V82">
        <f>LN(1+Table1[[#This Row],[Value]])</f>
        <v>4.3643761343165366</v>
      </c>
    </row>
    <row r="83" spans="1:23" x14ac:dyDescent="0.3">
      <c r="A83">
        <v>0</v>
      </c>
      <c r="B83">
        <v>197.352888885255</v>
      </c>
      <c r="C83">
        <v>173.35284992852701</v>
      </c>
      <c r="D83">
        <v>5.0327768757538696</v>
      </c>
      <c r="E83">
        <v>70.839115625134497</v>
      </c>
      <c r="F83">
        <v>-5.4497988806686797</v>
      </c>
      <c r="G83">
        <v>72.645094415985795</v>
      </c>
      <c r="H83">
        <v>52.512471408437499</v>
      </c>
      <c r="I83">
        <v>97.449859029588296</v>
      </c>
      <c r="J83">
        <v>77.393289758923501</v>
      </c>
      <c r="K83" t="s">
        <v>5</v>
      </c>
      <c r="L83" s="2">
        <v>0</v>
      </c>
      <c r="M83">
        <v>0</v>
      </c>
      <c r="N83">
        <f>LN(1+Table1[[#This Row],[Redness]])</f>
        <v>5.2900477114383708</v>
      </c>
      <c r="O83">
        <f>LN(1+Table1[[#This Row],[Greeness]])</f>
        <v>5.1610811190077213</v>
      </c>
      <c r="P83">
        <f>LN(1+Table1[[#This Row],[Blueness]])</f>
        <v>1.7972074148121402</v>
      </c>
      <c r="Q83">
        <f>LN(1+Table1[[#This Row],[L* lab]])</f>
        <v>4.2744291135776162</v>
      </c>
      <c r="R83">
        <f>LN(1+Table1[[#This Row],[a* lab]]+128)</f>
        <v>4.8166475602708605</v>
      </c>
      <c r="S83">
        <f>LN(1+Table1[[#This Row],[b* lab]]+128)</f>
        <v>5.306509193802964</v>
      </c>
      <c r="T83">
        <f>LN(1+Table1[[#This Row],[Hue]])</f>
        <v>3.9799147371740284</v>
      </c>
      <c r="U83">
        <f>LN(1+Table1[[#This Row],[Saturation]])</f>
        <v>4.5895473731855647</v>
      </c>
      <c r="V83">
        <f>LN(1+Table1[[#This Row],[Value]])</f>
        <v>4.3617383338836966</v>
      </c>
    </row>
    <row r="84" spans="1:23" x14ac:dyDescent="0.3">
      <c r="A84">
        <v>0</v>
      </c>
      <c r="B84">
        <v>198.11537777413</v>
      </c>
      <c r="C84">
        <v>174.11533864604999</v>
      </c>
      <c r="D84">
        <v>5.7419166481799397</v>
      </c>
      <c r="E84">
        <v>71.113482145465298</v>
      </c>
      <c r="F84">
        <v>-5.5034814723298302</v>
      </c>
      <c r="G84">
        <v>72.794805942207901</v>
      </c>
      <c r="H84">
        <v>52.514547800634602</v>
      </c>
      <c r="I84">
        <v>97.101730964707698</v>
      </c>
      <c r="J84">
        <v>77.6923050094627</v>
      </c>
      <c r="K84" t="s">
        <v>5</v>
      </c>
      <c r="L84" s="2">
        <v>0</v>
      </c>
      <c r="M84">
        <v>0</v>
      </c>
      <c r="N84">
        <f>LN(1+Table1[[#This Row],[Redness]])</f>
        <v>5.2938844445221767</v>
      </c>
      <c r="O84">
        <f>LN(1+Table1[[#This Row],[Greeness]])</f>
        <v>5.1654448348044362</v>
      </c>
      <c r="P84">
        <f>LN(1+Table1[[#This Row],[Blueness]])</f>
        <v>1.9083442536651312</v>
      </c>
      <c r="Q84">
        <f>LN(1+Table1[[#This Row],[L* lab]])</f>
        <v>4.2782410191188323</v>
      </c>
      <c r="R84">
        <f>LN(1+Table1[[#This Row],[a* lab]]+128)</f>
        <v>4.8162129656113342</v>
      </c>
      <c r="S84">
        <f>LN(1+Table1[[#This Row],[b* lab]]+128)</f>
        <v>5.3072513689470746</v>
      </c>
      <c r="T84">
        <f>LN(1+Table1[[#This Row],[Hue]])</f>
        <v>3.9799535384451974</v>
      </c>
      <c r="U84">
        <f>LN(1+Table1[[#This Row],[Saturation]])</f>
        <v>4.5860050113158284</v>
      </c>
      <c r="V84">
        <f>LN(1+Table1[[#This Row],[Value]])</f>
        <v>4.3655453743972394</v>
      </c>
    </row>
    <row r="85" spans="1:23" x14ac:dyDescent="0.3">
      <c r="A85">
        <v>0</v>
      </c>
      <c r="B85">
        <v>197.97066666302101</v>
      </c>
      <c r="C85">
        <v>173.970627567462</v>
      </c>
      <c r="D85">
        <v>4.6862956984015396</v>
      </c>
      <c r="E85">
        <v>71.060192426709307</v>
      </c>
      <c r="F85">
        <v>-5.5035087874939501</v>
      </c>
      <c r="G85">
        <v>72.872499751840806</v>
      </c>
      <c r="H85">
        <v>52.549825221010103</v>
      </c>
      <c r="I85">
        <v>97.632833299299605</v>
      </c>
      <c r="J85">
        <v>77.635555554126</v>
      </c>
      <c r="K85" t="s">
        <v>5</v>
      </c>
      <c r="L85" s="2">
        <v>0</v>
      </c>
      <c r="M85">
        <v>0</v>
      </c>
      <c r="N85">
        <f>LN(1+Table1[[#This Row],[Redness]])</f>
        <v>5.2931574101560868</v>
      </c>
      <c r="O85">
        <f>LN(1+Table1[[#This Row],[Greeness]])</f>
        <v>5.1646181173647445</v>
      </c>
      <c r="P85">
        <f>LN(1+Table1[[#This Row],[Blueness]])</f>
        <v>1.7380590165198671</v>
      </c>
      <c r="Q85">
        <f>LN(1+Table1[[#This Row],[L* lab]])</f>
        <v>4.2775017756842599</v>
      </c>
      <c r="R85">
        <f>LN(1+Table1[[#This Row],[a* lab]]+128)</f>
        <v>4.8162127444296559</v>
      </c>
      <c r="S85">
        <f>LN(1+Table1[[#This Row],[b* lab]]+128)</f>
        <v>5.3076363087700242</v>
      </c>
      <c r="T85">
        <f>LN(1+Table1[[#This Row],[Hue]])</f>
        <v>3.9806125330417479</v>
      </c>
      <c r="U85">
        <f>LN(1+Table1[[#This Row],[Saturation]])</f>
        <v>4.591404201099988</v>
      </c>
      <c r="V85">
        <f>LN(1+Table1[[#This Row],[Value]])</f>
        <v>4.3648239578904029</v>
      </c>
    </row>
    <row r="86" spans="1:23" x14ac:dyDescent="0.3">
      <c r="A86">
        <v>0</v>
      </c>
      <c r="B86">
        <v>199.127644440778</v>
      </c>
      <c r="C86">
        <v>175.12760508521399</v>
      </c>
      <c r="D86">
        <v>5.2370389962145296</v>
      </c>
      <c r="E86">
        <v>71.475448359777701</v>
      </c>
      <c r="F86">
        <v>-5.5906730080448801</v>
      </c>
      <c r="G86">
        <v>73.159950534356696</v>
      </c>
      <c r="H86">
        <v>52.573119476149401</v>
      </c>
      <c r="I86">
        <v>97.370009065832093</v>
      </c>
      <c r="J86">
        <v>78.089272329716806</v>
      </c>
      <c r="K86" t="s">
        <v>5</v>
      </c>
      <c r="L86" s="2">
        <v>0</v>
      </c>
      <c r="M86">
        <v>0</v>
      </c>
      <c r="N86">
        <f>LN(1+Table1[[#This Row],[Redness]])</f>
        <v>5.2989553851747493</v>
      </c>
      <c r="O86">
        <f>LN(1+Table1[[#This Row],[Greeness]])</f>
        <v>5.1712087612249373</v>
      </c>
      <c r="P86">
        <f>LN(1+Table1[[#This Row],[Blueness]])</f>
        <v>1.8305055499237548</v>
      </c>
      <c r="Q86">
        <f>LN(1+Table1[[#This Row],[L* lab]])</f>
        <v>4.2832478611946225</v>
      </c>
      <c r="R86">
        <f>LN(1+Table1[[#This Row],[a* lab]]+128)</f>
        <v>4.8155066920182081</v>
      </c>
      <c r="S86">
        <f>LN(1+Table1[[#This Row],[b* lab]]+128)</f>
        <v>5.3090592183942968</v>
      </c>
      <c r="T86">
        <f>LN(1+Table1[[#This Row],[Hue]])</f>
        <v>3.9810474399717677</v>
      </c>
      <c r="U86">
        <f>LN(1+Table1[[#This Row],[Saturation]])</f>
        <v>4.5887359716851996</v>
      </c>
      <c r="V86">
        <f>LN(1+Table1[[#This Row],[Value]])</f>
        <v>4.3705772439543793</v>
      </c>
    </row>
    <row r="87" spans="1:23" x14ac:dyDescent="0.3">
      <c r="A87">
        <v>0</v>
      </c>
      <c r="B87">
        <v>199.91075555187399</v>
      </c>
      <c r="C87">
        <v>175.910716020324</v>
      </c>
      <c r="D87">
        <v>6.0175549578181098</v>
      </c>
      <c r="E87">
        <v>71.756765768892294</v>
      </c>
      <c r="F87">
        <v>-5.6451695066249199</v>
      </c>
      <c r="G87">
        <v>73.309008953762103</v>
      </c>
      <c r="H87">
        <v>52.573218826234701</v>
      </c>
      <c r="I87">
        <v>96.989879338304704</v>
      </c>
      <c r="J87">
        <v>78.396374726225304</v>
      </c>
      <c r="K87" t="s">
        <v>5</v>
      </c>
      <c r="L87" s="2">
        <v>0</v>
      </c>
      <c r="M87">
        <v>0</v>
      </c>
      <c r="N87">
        <f>LN(1+Table1[[#This Row],[Redness]])</f>
        <v>5.3028608072314167</v>
      </c>
      <c r="O87">
        <f>LN(1+Table1[[#This Row],[Greeness]])</f>
        <v>5.1756451760428819</v>
      </c>
      <c r="P87">
        <f>LN(1+Table1[[#This Row],[Blueness]])</f>
        <v>1.9484148607612619</v>
      </c>
      <c r="Q87">
        <f>LN(1+Table1[[#This Row],[L* lab]])</f>
        <v>4.2871219019870335</v>
      </c>
      <c r="R87">
        <f>LN(1+Table1[[#This Row],[a* lab]]+128)</f>
        <v>4.8150650030790896</v>
      </c>
      <c r="S87">
        <f>LN(1+Table1[[#This Row],[b* lab]]+128)</f>
        <v>5.3097962758255619</v>
      </c>
      <c r="T87">
        <f>LN(1+Table1[[#This Row],[Hue]])</f>
        <v>3.9810492944464402</v>
      </c>
      <c r="U87">
        <f>LN(1+Table1[[#This Row],[Saturation]])</f>
        <v>4.5848642012795304</v>
      </c>
      <c r="V87">
        <f>LN(1+Table1[[#This Row],[Value]])</f>
        <v>4.3744527088508329</v>
      </c>
    </row>
    <row r="88" spans="1:23" x14ac:dyDescent="0.3">
      <c r="A88">
        <v>0</v>
      </c>
      <c r="B88">
        <v>199.16782221855499</v>
      </c>
      <c r="C88">
        <v>175.167782853962</v>
      </c>
      <c r="D88">
        <v>5.2743714986485903</v>
      </c>
      <c r="E88">
        <v>71.4898225363752</v>
      </c>
      <c r="F88">
        <v>-5.5935023391773004</v>
      </c>
      <c r="G88">
        <v>73.168180223033403</v>
      </c>
      <c r="H88">
        <v>52.573228458573503</v>
      </c>
      <c r="I88">
        <v>97.351795365387403</v>
      </c>
      <c r="J88">
        <v>78.105028321001896</v>
      </c>
      <c r="K88" t="s">
        <v>5</v>
      </c>
      <c r="L88" s="2">
        <v>0</v>
      </c>
      <c r="M88">
        <v>0</v>
      </c>
      <c r="N88">
        <f>LN(1+Table1[[#This Row],[Redness]])</f>
        <v>5.2991561257839166</v>
      </c>
      <c r="O88">
        <f>LN(1+Table1[[#This Row],[Greeness]])</f>
        <v>5.1714368525954049</v>
      </c>
      <c r="P88">
        <f>LN(1+Table1[[#This Row],[Blueness]])</f>
        <v>1.8364733204236283</v>
      </c>
      <c r="Q88">
        <f>LN(1+Table1[[#This Row],[L* lab]])</f>
        <v>4.2834461731979836</v>
      </c>
      <c r="R88">
        <f>LN(1+Table1[[#This Row],[a* lab]]+128)</f>
        <v>4.8154837653591374</v>
      </c>
      <c r="S88">
        <f>LN(1+Table1[[#This Row],[b* lab]]+128)</f>
        <v>5.3090999263641452</v>
      </c>
      <c r="T88">
        <f>LN(1+Table1[[#This Row],[Hue]])</f>
        <v>3.981049474244073</v>
      </c>
      <c r="U88">
        <f>LN(1+Table1[[#This Row],[Saturation]])</f>
        <v>4.5885507995274981</v>
      </c>
      <c r="V88">
        <f>LN(1+Table1[[#This Row],[Value]])</f>
        <v>4.3707764419188111</v>
      </c>
    </row>
    <row r="89" spans="1:23" x14ac:dyDescent="0.3">
      <c r="A89">
        <v>0</v>
      </c>
      <c r="B89">
        <v>198.582933329676</v>
      </c>
      <c r="C89">
        <v>174.582894096524</v>
      </c>
      <c r="D89">
        <v>4.6086974254850297</v>
      </c>
      <c r="E89">
        <v>71.279401300669505</v>
      </c>
      <c r="F89">
        <v>-5.5537204723669102</v>
      </c>
      <c r="G89">
        <v>73.067232503629597</v>
      </c>
      <c r="H89">
        <v>52.5763215548874</v>
      </c>
      <c r="I89">
        <v>97.679207700173293</v>
      </c>
      <c r="J89">
        <v>77.875660129284995</v>
      </c>
      <c r="K89" t="s">
        <v>5</v>
      </c>
      <c r="L89" s="2">
        <v>0</v>
      </c>
      <c r="M89">
        <v>0</v>
      </c>
      <c r="N89">
        <f>LN(1+Table1[[#This Row],[Redness]])</f>
        <v>5.2962298558613163</v>
      </c>
      <c r="O89">
        <f>LN(1+Table1[[#This Row],[Greeness]])</f>
        <v>5.1681112624270549</v>
      </c>
      <c r="P89">
        <f>LN(1+Table1[[#This Row],[Blueness]])</f>
        <v>1.724318504604222</v>
      </c>
      <c r="Q89">
        <f>LN(1+Table1[[#This Row],[L* lab]])</f>
        <v>4.2805391826331309</v>
      </c>
      <c r="R89">
        <f>LN(1+Table1[[#This Row],[a* lab]]+128)</f>
        <v>4.8158060778533116</v>
      </c>
      <c r="S89">
        <f>LN(1+Table1[[#This Row],[b* lab]]+128)</f>
        <v>5.3086004762005814</v>
      </c>
      <c r="T89">
        <f>LN(1+Table1[[#This Row],[Hue]])</f>
        <v>3.9811072084354788</v>
      </c>
      <c r="U89">
        <f>LN(1+Table1[[#This Row],[Saturation]])</f>
        <v>4.5918742626481093</v>
      </c>
      <c r="V89">
        <f>LN(1+Table1[[#This Row],[Value]])</f>
        <v>4.3678726901358313</v>
      </c>
    </row>
    <row r="90" spans="1:23" x14ac:dyDescent="0.3">
      <c r="A90">
        <v>0</v>
      </c>
      <c r="B90">
        <v>202.13351110738901</v>
      </c>
      <c r="C90">
        <v>179.74093738171899</v>
      </c>
      <c r="D90">
        <v>6.2274169536438704</v>
      </c>
      <c r="E90">
        <v>72.976560409001095</v>
      </c>
      <c r="F90">
        <v>-6.6574799116936196</v>
      </c>
      <c r="G90">
        <v>74.270928221458803</v>
      </c>
      <c r="H90">
        <v>53.141844671326098</v>
      </c>
      <c r="I90">
        <v>96.919156591340496</v>
      </c>
      <c r="J90">
        <v>79.268043571525197</v>
      </c>
      <c r="K90" t="s">
        <v>5</v>
      </c>
      <c r="L90" s="2">
        <v>0</v>
      </c>
      <c r="M90">
        <v>0</v>
      </c>
      <c r="N90">
        <f>LN(1+Table1[[#This Row],[Redness]])</f>
        <v>5.313863453042563</v>
      </c>
      <c r="O90">
        <f>LN(1+Table1[[#This Row],[Greeness]])</f>
        <v>5.1970647208148977</v>
      </c>
      <c r="P90">
        <f>LN(1+Table1[[#This Row],[Blueness]])</f>
        <v>1.9778817045128956</v>
      </c>
      <c r="Q90">
        <f>LN(1+Table1[[#This Row],[L* lab]])</f>
        <v>4.303748291798188</v>
      </c>
      <c r="R90">
        <f>LN(1+Table1[[#This Row],[a* lab]]+128)</f>
        <v>4.8068246526565881</v>
      </c>
      <c r="S90">
        <f>LN(1+Table1[[#This Row],[b* lab]]+128)</f>
        <v>5.3145397110063479</v>
      </c>
      <c r="T90">
        <f>LN(1+Table1[[#This Row],[Hue]])</f>
        <v>3.9916073558503733</v>
      </c>
      <c r="U90">
        <f>LN(1+Table1[[#This Row],[Saturation]])</f>
        <v>4.5841422054848922</v>
      </c>
      <c r="V90">
        <f>LN(1+Table1[[#This Row],[Value]])</f>
        <v>4.3853715787497229</v>
      </c>
    </row>
    <row r="91" spans="1:23" x14ac:dyDescent="0.3">
      <c r="A91">
        <v>0</v>
      </c>
      <c r="B91">
        <v>201.80142221850599</v>
      </c>
      <c r="C91">
        <v>179.93462622707699</v>
      </c>
      <c r="D91">
        <v>6.1107973269927101</v>
      </c>
      <c r="E91">
        <v>72.996779047787896</v>
      </c>
      <c r="F91">
        <v>-6.9057396720282798</v>
      </c>
      <c r="G91">
        <v>74.285025745602496</v>
      </c>
      <c r="H91">
        <v>53.295500179361703</v>
      </c>
      <c r="I91">
        <v>96.971875985900596</v>
      </c>
      <c r="J91">
        <v>79.137812634708396</v>
      </c>
      <c r="K91" t="s">
        <v>5</v>
      </c>
      <c r="L91" s="2">
        <v>0</v>
      </c>
      <c r="M91">
        <v>0</v>
      </c>
      <c r="N91">
        <f>LN(1+Table1[[#This Row],[Redness]])</f>
        <v>5.3122272846042033</v>
      </c>
      <c r="O91">
        <f>LN(1+Table1[[#This Row],[Greeness]])</f>
        <v>5.198135784958362</v>
      </c>
      <c r="P91">
        <f>LN(1+Table1[[#This Row],[Blueness]])</f>
        <v>1.9616143791582266</v>
      </c>
      <c r="Q91">
        <f>LN(1+Table1[[#This Row],[L* lab]])</f>
        <v>4.3040215658756251</v>
      </c>
      <c r="R91">
        <f>LN(1+Table1[[#This Row],[a* lab]]+128)</f>
        <v>4.8047933720508302</v>
      </c>
      <c r="S91">
        <f>LN(1+Table1[[#This Row],[b* lab]]+128)</f>
        <v>5.3146090619727362</v>
      </c>
      <c r="T91">
        <f>LN(1+Table1[[#This Row],[Hue]])</f>
        <v>3.994441353880998</v>
      </c>
      <c r="U91">
        <f>LN(1+Table1[[#This Row],[Saturation]])</f>
        <v>4.5846804577482994</v>
      </c>
      <c r="V91">
        <f>LN(1+Table1[[#This Row],[Value]])</f>
        <v>4.3837478105343841</v>
      </c>
    </row>
    <row r="92" spans="1:23" x14ac:dyDescent="0.3">
      <c r="A92">
        <v>0</v>
      </c>
      <c r="B92">
        <v>202.81777777404301</v>
      </c>
      <c r="C92">
        <v>182.532225643277</v>
      </c>
      <c r="D92">
        <v>5.3095707152292801</v>
      </c>
      <c r="E92">
        <v>73.777136698879005</v>
      </c>
      <c r="F92">
        <v>-7.8117933635275003</v>
      </c>
      <c r="G92">
        <v>74.986769439835697</v>
      </c>
      <c r="H92">
        <v>53.837556697157801</v>
      </c>
      <c r="I92">
        <v>97.382097973115194</v>
      </c>
      <c r="J92">
        <v>79.536383440801302</v>
      </c>
      <c r="K92" t="s">
        <v>5</v>
      </c>
      <c r="L92" s="2">
        <v>0</v>
      </c>
      <c r="M92">
        <v>0</v>
      </c>
      <c r="N92">
        <f>LN(1+Table1[[#This Row],[Redness]])</f>
        <v>5.3172263484564235</v>
      </c>
      <c r="O92">
        <f>LN(1+Table1[[#This Row],[Greeness]])</f>
        <v>5.212390268660454</v>
      </c>
      <c r="P92">
        <f>LN(1+Table1[[#This Row],[Blueness]])</f>
        <v>1.8420676417870314</v>
      </c>
      <c r="Q92">
        <f>LN(1+Table1[[#This Row],[L* lab]])</f>
        <v>4.3145121791512704</v>
      </c>
      <c r="R92">
        <f>LN(1+Table1[[#This Row],[a* lab]]+128)</f>
        <v>4.7973447639211777</v>
      </c>
      <c r="S92">
        <f>LN(1+Table1[[#This Row],[b* lab]]+128)</f>
        <v>5.3180551360539159</v>
      </c>
      <c r="T92">
        <f>LN(1+Table1[[#This Row],[Hue]])</f>
        <v>4.0043753004039528</v>
      </c>
      <c r="U92">
        <f>LN(1+Table1[[#This Row],[Saturation]])</f>
        <v>4.588858856339197</v>
      </c>
      <c r="V92">
        <f>LN(1+Table1[[#This Row],[Value]])</f>
        <v>4.388709050526364</v>
      </c>
    </row>
    <row r="93" spans="1:23" x14ac:dyDescent="0.3">
      <c r="A93">
        <v>0</v>
      </c>
      <c r="B93">
        <v>203.21031110736899</v>
      </c>
      <c r="C93">
        <v>183.26466992310799</v>
      </c>
      <c r="D93">
        <v>5.5728537442999801</v>
      </c>
      <c r="E93">
        <v>74.007993184941199</v>
      </c>
      <c r="F93">
        <v>-8.0152411145134792</v>
      </c>
      <c r="G93">
        <v>75.140072571789204</v>
      </c>
      <c r="H93">
        <v>53.944779056445597</v>
      </c>
      <c r="I93">
        <v>97.257593025702505</v>
      </c>
      <c r="J93">
        <v>79.690318081321294</v>
      </c>
      <c r="K93" t="s">
        <v>5</v>
      </c>
      <c r="L93" s="2">
        <v>0</v>
      </c>
      <c r="M93">
        <v>0</v>
      </c>
      <c r="N93">
        <f>LN(1+Table1[[#This Row],[Redness]])</f>
        <v>5.3191503995946556</v>
      </c>
      <c r="O93">
        <f>LN(1+Table1[[#This Row],[Greeness]])</f>
        <v>5.2163731475640551</v>
      </c>
      <c r="P93">
        <f>LN(1+Table1[[#This Row],[Blueness]])</f>
        <v>1.8829480980525923</v>
      </c>
      <c r="Q93">
        <f>LN(1+Table1[[#This Row],[L* lab]])</f>
        <v>4.3175946836567292</v>
      </c>
      <c r="R93">
        <f>LN(1+Table1[[#This Row],[a* lab]]+128)</f>
        <v>4.7956645780390827</v>
      </c>
      <c r="S93">
        <f>LN(1+Table1[[#This Row],[b* lab]]+128)</f>
        <v>5.3188063884753829</v>
      </c>
      <c r="T93">
        <f>LN(1+Table1[[#This Row],[Hue]])</f>
        <v>4.0063286637140907</v>
      </c>
      <c r="U93">
        <f>LN(1+Table1[[#This Row],[Saturation]])</f>
        <v>4.5875925304675675</v>
      </c>
      <c r="V93">
        <f>LN(1+Table1[[#This Row],[Value]])</f>
        <v>4.3906185938692683</v>
      </c>
    </row>
    <row r="94" spans="1:23" x14ac:dyDescent="0.3">
      <c r="A94">
        <v>1</v>
      </c>
      <c r="B94">
        <v>196.55288329999999</v>
      </c>
      <c r="C94">
        <v>148.60196099999999</v>
      </c>
      <c r="D94">
        <v>9.3244758010000002</v>
      </c>
      <c r="E94">
        <v>64.323206810000002</v>
      </c>
      <c r="F94">
        <v>7.4813165210000001</v>
      </c>
      <c r="G94">
        <v>67.317025599999994</v>
      </c>
      <c r="H94">
        <v>44.63344652</v>
      </c>
      <c r="I94">
        <v>95.255996429999996</v>
      </c>
      <c r="J94">
        <v>77.079562089999996</v>
      </c>
      <c r="K94" t="s">
        <v>5</v>
      </c>
      <c r="L94" s="1">
        <v>1.7299999999999999E-2</v>
      </c>
      <c r="M94">
        <v>0</v>
      </c>
      <c r="N94">
        <f>LN(1+Table1[[#This Row],[Redness]])</f>
        <v>5.2860063120432201</v>
      </c>
      <c r="O94">
        <f>LN(1+Table1[[#This Row],[Greeness]])</f>
        <v>5.0079781737432336</v>
      </c>
      <c r="P94">
        <f>LN(1+Table1[[#This Row],[Blueness]])</f>
        <v>2.3345173676793278</v>
      </c>
      <c r="Q94">
        <f>LN(1+Table1[[#This Row],[L* lab]])</f>
        <v>4.1793473607428835</v>
      </c>
      <c r="R94">
        <f>LN(1+Table1[[#This Row],[a* lab]]+128)</f>
        <v>4.9161877299527061</v>
      </c>
      <c r="S94">
        <f>LN(1+Table1[[#This Row],[b* lab]]+128)</f>
        <v>5.2797308300735812</v>
      </c>
      <c r="T94">
        <f>LN(1+Table1[[#This Row],[Hue]])</f>
        <v>3.8206409239738384</v>
      </c>
      <c r="U94">
        <f>LN(1+Table1[[#This Row],[Saturation]])</f>
        <v>4.5670112717987221</v>
      </c>
      <c r="V94">
        <f>LN(1+Table1[[#This Row],[Value]])</f>
        <v>4.3577283336106261</v>
      </c>
      <c r="W94" t="s">
        <v>26</v>
      </c>
    </row>
    <row r="95" spans="1:23" x14ac:dyDescent="0.3">
      <c r="A95">
        <v>1</v>
      </c>
      <c r="B95">
        <v>197.7540444</v>
      </c>
      <c r="C95">
        <v>151.16209939999999</v>
      </c>
      <c r="D95">
        <v>9.2323861839999992</v>
      </c>
      <c r="E95">
        <v>65.101701509999998</v>
      </c>
      <c r="F95">
        <v>6.6323828899999997</v>
      </c>
      <c r="G95">
        <v>67.953450619999998</v>
      </c>
      <c r="H95">
        <v>45.171376430000002</v>
      </c>
      <c r="I95">
        <v>95.331379339999998</v>
      </c>
      <c r="J95">
        <v>77.550605660000002</v>
      </c>
      <c r="K95" t="s">
        <v>5</v>
      </c>
      <c r="L95" s="1">
        <v>1.7299999999999999E-2</v>
      </c>
      <c r="M95">
        <v>0</v>
      </c>
      <c r="N95">
        <f>LN(1+Table1[[#This Row],[Redness]])</f>
        <v>5.2920681025097895</v>
      </c>
      <c r="O95">
        <f>LN(1+Table1[[#This Row],[Greeness]])</f>
        <v>5.0249463960205096</v>
      </c>
      <c r="P95">
        <f>LN(1+Table1[[#This Row],[Blueness]])</f>
        <v>2.3255578063320885</v>
      </c>
      <c r="Q95">
        <f>LN(1+Table1[[#This Row],[L* lab]])</f>
        <v>4.19119448797868</v>
      </c>
      <c r="R95">
        <f>LN(1+Table1[[#This Row],[a* lab]]+128)</f>
        <v>4.9099481588684348</v>
      </c>
      <c r="S95">
        <f>LN(1+Table1[[#This Row],[b* lab]]+128)</f>
        <v>5.2829674095477728</v>
      </c>
      <c r="T95">
        <f>LN(1+Table1[[#This Row],[Hue]])</f>
        <v>3.8323600482902469</v>
      </c>
      <c r="U95">
        <f>LN(1+Table1[[#This Row],[Saturation]])</f>
        <v>4.567794115570786</v>
      </c>
      <c r="V95">
        <f>LN(1+Table1[[#This Row],[Value]])</f>
        <v>4.363743075174769</v>
      </c>
      <c r="W95" t="s">
        <v>26</v>
      </c>
    </row>
    <row r="96" spans="1:23" x14ac:dyDescent="0.3">
      <c r="A96">
        <v>1</v>
      </c>
      <c r="B96">
        <v>185.731186107691</v>
      </c>
      <c r="C96">
        <v>144.25635369007099</v>
      </c>
      <c r="D96">
        <v>4.7822824509395998</v>
      </c>
      <c r="E96">
        <v>62.033584295334201</v>
      </c>
      <c r="F96">
        <v>4.9270033534253699</v>
      </c>
      <c r="G96">
        <v>65.803521695664102</v>
      </c>
      <c r="H96">
        <v>46.247554448974697</v>
      </c>
      <c r="I96">
        <v>97.4251591500811</v>
      </c>
      <c r="J96">
        <v>72.835759257918099</v>
      </c>
      <c r="K96" t="s">
        <v>5</v>
      </c>
      <c r="L96" s="2">
        <v>1.7299999999999999E-2</v>
      </c>
      <c r="M96">
        <v>0</v>
      </c>
      <c r="N96">
        <f>LN(1+Table1[[#This Row],[Redness]])</f>
        <v>5.2296700752040186</v>
      </c>
      <c r="O96">
        <f>LN(1+Table1[[#This Row],[Greeness]])</f>
        <v>4.9785001379083367</v>
      </c>
      <c r="P96">
        <f>LN(1+Table1[[#This Row],[Blueness]])</f>
        <v>1.7547984924424689</v>
      </c>
      <c r="Q96">
        <f>LN(1+Table1[[#This Row],[L* lab]])</f>
        <v>4.1436676684056293</v>
      </c>
      <c r="R96">
        <f>LN(1+Table1[[#This Row],[a* lab]]+128)</f>
        <v>4.897294900426286</v>
      </c>
      <c r="S96">
        <f>LN(1+Table1[[#This Row],[b* lab]]+128)</f>
        <v>5.2719914695648562</v>
      </c>
      <c r="T96">
        <f>LN(1+Table1[[#This Row],[Hue]])</f>
        <v>3.855400894906619</v>
      </c>
      <c r="U96">
        <f>LN(1+Table1[[#This Row],[Saturation]])</f>
        <v>4.5892964537965515</v>
      </c>
      <c r="V96">
        <f>LN(1+Table1[[#This Row],[Value]])</f>
        <v>4.3018431570436944</v>
      </c>
    </row>
    <row r="97" spans="1:23" x14ac:dyDescent="0.3">
      <c r="A97">
        <v>1</v>
      </c>
      <c r="B97">
        <v>206.5422222</v>
      </c>
      <c r="C97">
        <v>161.5785415</v>
      </c>
      <c r="D97">
        <v>5.0687510749999998</v>
      </c>
      <c r="E97">
        <v>68.679186250000001</v>
      </c>
      <c r="F97">
        <v>4.8791228000000002</v>
      </c>
      <c r="G97">
        <v>71.503628969999994</v>
      </c>
      <c r="H97">
        <v>46.609547999999997</v>
      </c>
      <c r="I97">
        <v>97.545900770000003</v>
      </c>
      <c r="J97">
        <v>80.996949889999996</v>
      </c>
      <c r="K97" t="s">
        <v>5</v>
      </c>
      <c r="L97" s="1">
        <v>1.7299999999999999E-2</v>
      </c>
      <c r="M97">
        <v>0</v>
      </c>
      <c r="N97">
        <f>LN(1+Table1[[#This Row],[Redness]])</f>
        <v>5.3353347994533351</v>
      </c>
      <c r="O97">
        <f>LN(1+Table1[[#This Row],[Greeness]])</f>
        <v>5.0911612173100478</v>
      </c>
      <c r="P97">
        <f>LN(1+Table1[[#This Row],[Blueness]])</f>
        <v>1.8031528301944544</v>
      </c>
      <c r="Q97">
        <f>LN(1+Table1[[#This Row],[L* lab]])</f>
        <v>4.243901654089143</v>
      </c>
      <c r="R97">
        <f>LN(1+Table1[[#This Row],[a* lab]]+128)</f>
        <v>4.8969373241854193</v>
      </c>
      <c r="S97">
        <f>LN(1+Table1[[#This Row],[b* lab]]+128)</f>
        <v>5.3008323461838254</v>
      </c>
      <c r="T97">
        <f>LN(1+Table1[[#This Row],[Hue]])</f>
        <v>3.8630333293575383</v>
      </c>
      <c r="U97">
        <f>LN(1+Table1[[#This Row],[Saturation]])</f>
        <v>4.5905224372998257</v>
      </c>
      <c r="V97">
        <f>LN(1+Table1[[#This Row],[Value]])</f>
        <v>4.4066820501090325</v>
      </c>
      <c r="W97" t="s">
        <v>26</v>
      </c>
    </row>
    <row r="98" spans="1:23" x14ac:dyDescent="0.3">
      <c r="A98">
        <v>1</v>
      </c>
      <c r="B98">
        <v>182.28162221886501</v>
      </c>
      <c r="C98">
        <v>143.661412157115</v>
      </c>
      <c r="D98">
        <v>4.6104112762292102</v>
      </c>
      <c r="E98">
        <v>61.511926044678603</v>
      </c>
      <c r="F98">
        <v>3.68693013030911</v>
      </c>
      <c r="G98">
        <v>65.286929736863698</v>
      </c>
      <c r="H98">
        <v>46.957861144689502</v>
      </c>
      <c r="I98">
        <v>97.470720734154099</v>
      </c>
      <c r="J98">
        <v>71.482989105437596</v>
      </c>
      <c r="K98" t="s">
        <v>5</v>
      </c>
      <c r="L98" s="2">
        <v>1.7299999999999999E-2</v>
      </c>
      <c r="M98">
        <v>0</v>
      </c>
      <c r="N98">
        <f>LN(1+Table1[[#This Row],[Redness]])</f>
        <v>5.2110238891474543</v>
      </c>
      <c r="O98">
        <f>LN(1+Table1[[#This Row],[Greeness]])</f>
        <v>4.974395923278057</v>
      </c>
      <c r="P98">
        <f>LN(1+Table1[[#This Row],[Blueness]])</f>
        <v>1.724624028118269</v>
      </c>
      <c r="Q98">
        <f>LN(1+Table1[[#This Row],[L* lab]])</f>
        <v>4.1353573552540199</v>
      </c>
      <c r="R98">
        <f>LN(1+Table1[[#This Row],[a* lab]]+128)</f>
        <v>4.8879924446285079</v>
      </c>
      <c r="S98">
        <f>LN(1+Table1[[#This Row],[b* lab]]+128)</f>
        <v>5.2693360856537792</v>
      </c>
      <c r="T98">
        <f>LN(1+Table1[[#This Row],[Hue]])</f>
        <v>3.8703227325153433</v>
      </c>
      <c r="U98">
        <f>LN(1+Table1[[#This Row],[Saturation]])</f>
        <v>4.5897592525601727</v>
      </c>
      <c r="V98">
        <f>LN(1+Table1[[#This Row],[Value]])</f>
        <v>4.2833519013015469</v>
      </c>
    </row>
    <row r="99" spans="1:23" x14ac:dyDescent="0.3">
      <c r="A99">
        <v>1</v>
      </c>
      <c r="B99">
        <v>188.35509166319801</v>
      </c>
      <c r="C99">
        <v>149.60092471112199</v>
      </c>
      <c r="D99">
        <v>4.90491305491721</v>
      </c>
      <c r="E99">
        <v>63.700222739506003</v>
      </c>
      <c r="F99">
        <v>3.2023503382960201</v>
      </c>
      <c r="G99">
        <v>67.103866686388201</v>
      </c>
      <c r="H99">
        <v>47.324896411850098</v>
      </c>
      <c r="I99">
        <v>97.395922238360399</v>
      </c>
      <c r="J99">
        <v>73.864741828705306</v>
      </c>
      <c r="K99" t="s">
        <v>5</v>
      </c>
      <c r="L99" s="2">
        <v>1.7299999999999999E-2</v>
      </c>
      <c r="M99">
        <v>0</v>
      </c>
      <c r="N99">
        <f>LN(1+Table1[[#This Row],[Redness]])</f>
        <v>5.2436240442064852</v>
      </c>
      <c r="O99">
        <f>LN(1+Table1[[#This Row],[Greeness]])</f>
        <v>5.0146334555270355</v>
      </c>
      <c r="P99">
        <f>LN(1+Table1[[#This Row],[Blueness]])</f>
        <v>1.775784725564163</v>
      </c>
      <c r="Q99">
        <f>LN(1+Table1[[#This Row],[L* lab]])</f>
        <v>4.1697646441517175</v>
      </c>
      <c r="R99">
        <f>LN(1+Table1[[#This Row],[a* lab]]+128)</f>
        <v>4.884333705915342</v>
      </c>
      <c r="S99">
        <f>LN(1+Table1[[#This Row],[b* lab]]+128)</f>
        <v>5.2786444509395123</v>
      </c>
      <c r="T99">
        <f>LN(1+Table1[[#This Row],[Hue]])</f>
        <v>3.877946881519414</v>
      </c>
      <c r="U99">
        <f>LN(1+Table1[[#This Row],[Saturation]])</f>
        <v>4.5889993625324506</v>
      </c>
      <c r="V99">
        <f>LN(1+Table1[[#This Row],[Value]])</f>
        <v>4.3156830430925224</v>
      </c>
    </row>
    <row r="100" spans="1:23" x14ac:dyDescent="0.3">
      <c r="A100">
        <v>1</v>
      </c>
      <c r="B100">
        <v>187.18812221877499</v>
      </c>
      <c r="C100">
        <v>149.065110942655</v>
      </c>
      <c r="D100">
        <v>4.5126745626395603</v>
      </c>
      <c r="E100">
        <v>63.436421229083102</v>
      </c>
      <c r="F100">
        <v>2.9655740629309002</v>
      </c>
      <c r="G100">
        <v>66.916377815571494</v>
      </c>
      <c r="H100">
        <v>47.478444936547199</v>
      </c>
      <c r="I100">
        <v>97.589230283871601</v>
      </c>
      <c r="J100">
        <v>73.407106752461004</v>
      </c>
      <c r="K100" t="s">
        <v>5</v>
      </c>
      <c r="L100" s="2">
        <v>1.7299999999999999E-2</v>
      </c>
      <c r="M100">
        <v>0</v>
      </c>
      <c r="N100">
        <f>LN(1+Table1[[#This Row],[Redness]])</f>
        <v>5.2374421126132384</v>
      </c>
      <c r="O100">
        <f>LN(1+Table1[[#This Row],[Greeness]])</f>
        <v>5.0110692728648791</v>
      </c>
      <c r="P100">
        <f>LN(1+Table1[[#This Row],[Blueness]])</f>
        <v>1.707049906963569</v>
      </c>
      <c r="Q100">
        <f>LN(1+Table1[[#This Row],[L* lab]])</f>
        <v>4.1656790202843048</v>
      </c>
      <c r="R100">
        <f>LN(1+Table1[[#This Row],[a* lab]]+128)</f>
        <v>4.882541086017917</v>
      </c>
      <c r="S100">
        <f>LN(1+Table1[[#This Row],[b* lab]]+128)</f>
        <v>5.2776879243940522</v>
      </c>
      <c r="T100">
        <f>LN(1+Table1[[#This Row],[Hue]])</f>
        <v>3.8811192648552475</v>
      </c>
      <c r="U100">
        <f>LN(1+Table1[[#This Row],[Saturation]])</f>
        <v>4.5909620293130571</v>
      </c>
      <c r="V100">
        <f>LN(1+Table1[[#This Row],[Value]])</f>
        <v>4.3095514581436305</v>
      </c>
    </row>
    <row r="101" spans="1:23" x14ac:dyDescent="0.3">
      <c r="A101">
        <v>1</v>
      </c>
      <c r="B101">
        <v>188.47963055208501</v>
      </c>
      <c r="C101">
        <v>150.20137457617301</v>
      </c>
      <c r="D101">
        <v>4.4045408582306598</v>
      </c>
      <c r="E101">
        <v>63.866813768827598</v>
      </c>
      <c r="F101">
        <v>2.92816872504374</v>
      </c>
      <c r="G101">
        <v>67.300942592945205</v>
      </c>
      <c r="H101">
        <v>47.523051802531</v>
      </c>
      <c r="I101">
        <v>97.663121025158404</v>
      </c>
      <c r="J101">
        <v>73.913580608660794</v>
      </c>
      <c r="K101" t="s">
        <v>5</v>
      </c>
      <c r="L101" s="2">
        <v>1.7299999999999999E-2</v>
      </c>
      <c r="M101">
        <v>0</v>
      </c>
      <c r="N101">
        <f>LN(1+Table1[[#This Row],[Redness]])</f>
        <v>5.244281528254648</v>
      </c>
      <c r="O101">
        <f>LN(1+Table1[[#This Row],[Greeness]])</f>
        <v>5.0186125548163645</v>
      </c>
      <c r="P101">
        <f>LN(1+Table1[[#This Row],[Blueness]])</f>
        <v>1.6872394998845222</v>
      </c>
      <c r="Q101">
        <f>LN(1+Table1[[#This Row],[L* lab]])</f>
        <v>4.1723361488432111</v>
      </c>
      <c r="R101">
        <f>LN(1+Table1[[#This Row],[a* lab]]+128)</f>
        <v>4.882257598143271</v>
      </c>
      <c r="S101">
        <f>LN(1+Table1[[#This Row],[b* lab]]+128)</f>
        <v>5.2796489030688756</v>
      </c>
      <c r="T101">
        <f>LN(1+Table1[[#This Row],[Hue]])</f>
        <v>3.8820389799241419</v>
      </c>
      <c r="U101">
        <f>LN(1+Table1[[#This Row],[Saturation]])</f>
        <v>4.5917112294544262</v>
      </c>
      <c r="V101">
        <f>LN(1+Table1[[#This Row],[Value]])</f>
        <v>4.3163351906248444</v>
      </c>
    </row>
    <row r="102" spans="1:23" x14ac:dyDescent="0.3">
      <c r="A102">
        <v>1</v>
      </c>
      <c r="B102">
        <v>208.66720000000001</v>
      </c>
      <c r="C102">
        <v>166.8539514</v>
      </c>
      <c r="D102">
        <v>7.5900449590000001</v>
      </c>
      <c r="E102">
        <v>70.251783349999997</v>
      </c>
      <c r="F102">
        <v>3.0458048729999998</v>
      </c>
      <c r="G102">
        <v>72.393933700000005</v>
      </c>
      <c r="H102">
        <v>47.523222539999999</v>
      </c>
      <c r="I102">
        <v>96.362607560000001</v>
      </c>
      <c r="J102">
        <v>81.830274509999995</v>
      </c>
      <c r="K102" t="s">
        <v>5</v>
      </c>
      <c r="L102" s="1">
        <v>1.7299999999999999E-2</v>
      </c>
      <c r="M102">
        <v>0</v>
      </c>
      <c r="N102">
        <f>LN(1+Table1[[#This Row],[Redness]])</f>
        <v>5.3455215117492862</v>
      </c>
      <c r="O102">
        <f>LN(1+Table1[[#This Row],[Greeness]])</f>
        <v>5.1230942644060278</v>
      </c>
      <c r="P102">
        <f>LN(1+Table1[[#This Row],[Blueness]])</f>
        <v>2.150603969859068</v>
      </c>
      <c r="Q102">
        <f>LN(1+Table1[[#This Row],[L* lab]])</f>
        <v>4.2662198483092117</v>
      </c>
      <c r="R102">
        <f>LN(1+Table1[[#This Row],[a* lab]]+128)</f>
        <v>4.8831488690071367</v>
      </c>
      <c r="S102">
        <f>LN(1+Table1[[#This Row],[b* lab]]+128)</f>
        <v>5.3052628591754134</v>
      </c>
      <c r="T102">
        <f>LN(1+Table1[[#This Row],[Hue]])</f>
        <v>3.8820424986057227</v>
      </c>
      <c r="U102">
        <f>LN(1+Table1[[#This Row],[Saturation]])</f>
        <v>4.5784422309829074</v>
      </c>
      <c r="V102">
        <f>LN(1+Table1[[#This Row],[Value]])</f>
        <v>4.416793628742071</v>
      </c>
      <c r="W102" t="s">
        <v>26</v>
      </c>
    </row>
    <row r="103" spans="1:23" x14ac:dyDescent="0.3">
      <c r="A103">
        <v>1</v>
      </c>
      <c r="B103">
        <v>202.409258918181</v>
      </c>
      <c r="C103">
        <v>162.70560070331101</v>
      </c>
      <c r="D103">
        <v>4.8577995153738298</v>
      </c>
      <c r="E103">
        <v>68.545167472849002</v>
      </c>
      <c r="F103">
        <v>2.4391812269531998</v>
      </c>
      <c r="G103">
        <v>71.242027285487794</v>
      </c>
      <c r="H103">
        <v>47.941271099218397</v>
      </c>
      <c r="I103">
        <v>97.600011214241206</v>
      </c>
      <c r="J103">
        <v>79.376179967914098</v>
      </c>
      <c r="K103" t="s">
        <v>5</v>
      </c>
      <c r="L103" s="2">
        <v>1.7299999999999999E-2</v>
      </c>
      <c r="M103">
        <v>0</v>
      </c>
      <c r="N103">
        <f>LN(1+Table1[[#This Row],[Redness]])</f>
        <v>5.3152200033167754</v>
      </c>
      <c r="O103">
        <f>LN(1+Table1[[#This Row],[Greeness]])</f>
        <v>5.0980696970069248</v>
      </c>
      <c r="P103">
        <f>LN(1+Table1[[#This Row],[Blueness]])</f>
        <v>1.7677740237457691</v>
      </c>
      <c r="Q103">
        <f>LN(1+Table1[[#This Row],[L* lab]])</f>
        <v>4.2419764331782588</v>
      </c>
      <c r="R103">
        <f>LN(1+Table1[[#This Row],[a* lab]]+128)</f>
        <v>4.8785442444563634</v>
      </c>
      <c r="S103">
        <f>LN(1+Table1[[#This Row],[b* lab]]+128)</f>
        <v>5.2995267713505738</v>
      </c>
      <c r="T103">
        <f>LN(1+Table1[[#This Row],[Hue]])</f>
        <v>3.8906210302808071</v>
      </c>
      <c r="U103">
        <f>LN(1+Table1[[#This Row],[Saturation]])</f>
        <v>4.5910713753432812</v>
      </c>
      <c r="V103">
        <f>LN(1+Table1[[#This Row],[Value]])</f>
        <v>4.3867178632327786</v>
      </c>
    </row>
    <row r="104" spans="1:23" x14ac:dyDescent="0.3">
      <c r="A104">
        <v>1</v>
      </c>
      <c r="B104">
        <v>189.22878055207099</v>
      </c>
      <c r="C104">
        <v>152.52083516599501</v>
      </c>
      <c r="D104">
        <v>4.5171022418716902</v>
      </c>
      <c r="E104">
        <v>64.551659203505906</v>
      </c>
      <c r="F104">
        <v>2.0089333684400899</v>
      </c>
      <c r="G104">
        <v>67.808659157471595</v>
      </c>
      <c r="H104">
        <v>48.076137127259599</v>
      </c>
      <c r="I104">
        <v>97.612888362598298</v>
      </c>
      <c r="J104">
        <v>74.207364922380904</v>
      </c>
      <c r="K104" t="s">
        <v>5</v>
      </c>
      <c r="L104" s="2">
        <v>1.7299999999999999E-2</v>
      </c>
      <c r="M104">
        <v>0</v>
      </c>
      <c r="N104">
        <f>LN(1+Table1[[#This Row],[Redness]])</f>
        <v>5.2482274559724509</v>
      </c>
      <c r="O104">
        <f>LN(1+Table1[[#This Row],[Greeness]])</f>
        <v>5.0338362917966517</v>
      </c>
      <c r="P104">
        <f>LN(1+Table1[[#This Row],[Blueness]])</f>
        <v>1.7078527662686009</v>
      </c>
      <c r="Q104">
        <f>LN(1+Table1[[#This Row],[L* lab]])</f>
        <v>4.1828385219184403</v>
      </c>
      <c r="R104">
        <f>LN(1+Table1[[#This Row],[a* lab]]+128)</f>
        <v>4.8752655145282846</v>
      </c>
      <c r="S104">
        <f>LN(1+Table1[[#This Row],[b* lab]]+128)</f>
        <v>5.2822319834340909</v>
      </c>
      <c r="T104">
        <f>LN(1+Table1[[#This Row],[Hue]])</f>
        <v>3.8933729111067019</v>
      </c>
      <c r="U104">
        <f>LN(1+Table1[[#This Row],[Saturation]])</f>
        <v>4.5912019666829247</v>
      </c>
      <c r="V104">
        <f>LN(1+Table1[[#This Row],[Value]])</f>
        <v>4.3202491639578193</v>
      </c>
    </row>
    <row r="105" spans="1:23" x14ac:dyDescent="0.3">
      <c r="A105">
        <v>1</v>
      </c>
      <c r="B105">
        <v>196.67934721859999</v>
      </c>
      <c r="C105">
        <v>160.16500011466599</v>
      </c>
      <c r="D105">
        <v>4.7114201392137502</v>
      </c>
      <c r="E105">
        <v>67.305162378139499</v>
      </c>
      <c r="F105">
        <v>1.2387689961804</v>
      </c>
      <c r="G105">
        <v>70.103270663843304</v>
      </c>
      <c r="H105">
        <v>48.587360088906699</v>
      </c>
      <c r="I105">
        <v>97.604517095545702</v>
      </c>
      <c r="J105">
        <v>77.129155772000303</v>
      </c>
      <c r="K105" t="s">
        <v>5</v>
      </c>
      <c r="L105" s="2">
        <v>1.7299999999999999E-2</v>
      </c>
      <c r="M105">
        <v>0</v>
      </c>
      <c r="N105">
        <f>LN(1+Table1[[#This Row],[Redness]])</f>
        <v>5.286646259462235</v>
      </c>
      <c r="O105">
        <f>LN(1+Table1[[#This Row],[Greeness]])</f>
        <v>5.0824286856216165</v>
      </c>
      <c r="P105">
        <f>LN(1+Table1[[#This Row],[Blueness]])</f>
        <v>1.7424677036400693</v>
      </c>
      <c r="Q105">
        <f>LN(1+Table1[[#This Row],[L* lab]])</f>
        <v>4.22398534758777</v>
      </c>
      <c r="R105">
        <f>LN(1+Table1[[#This Row],[a* lab]]+128)</f>
        <v>4.8693694503989073</v>
      </c>
      <c r="S105">
        <f>LN(1+Table1[[#This Row],[b* lab]]+128)</f>
        <v>5.2938236381770301</v>
      </c>
      <c r="T105">
        <f>LN(1+Table1[[#This Row],[Hue]])</f>
        <v>3.9037359643372334</v>
      </c>
      <c r="U105">
        <f>LN(1+Table1[[#This Row],[Saturation]])</f>
        <v>4.591117072887287</v>
      </c>
      <c r="V105">
        <f>LN(1+Table1[[#This Row],[Value]])</f>
        <v>4.3583633005234255</v>
      </c>
    </row>
    <row r="106" spans="1:23" x14ac:dyDescent="0.3">
      <c r="A106">
        <v>1</v>
      </c>
      <c r="B106">
        <v>191.81858246195699</v>
      </c>
      <c r="C106">
        <v>156.54433637143401</v>
      </c>
      <c r="D106">
        <v>4.8254455730647399</v>
      </c>
      <c r="E106">
        <v>65.868939407719395</v>
      </c>
      <c r="F106">
        <v>1.0055550954752599</v>
      </c>
      <c r="G106">
        <v>68.832884949550206</v>
      </c>
      <c r="H106">
        <v>48.681644681489303</v>
      </c>
      <c r="I106">
        <v>97.484370121428796</v>
      </c>
      <c r="J106">
        <v>75.222973514493106</v>
      </c>
      <c r="K106" t="s">
        <v>5</v>
      </c>
      <c r="L106" s="2">
        <v>1.7299999999999999E-2</v>
      </c>
      <c r="M106">
        <v>0</v>
      </c>
      <c r="N106">
        <f>LN(1+Table1[[#This Row],[Redness]])</f>
        <v>5.2617497595960847</v>
      </c>
      <c r="O106">
        <f>LN(1+Table1[[#This Row],[Greeness]])</f>
        <v>5.0597069194227897</v>
      </c>
      <c r="P106">
        <f>LN(1+Table1[[#This Row],[Blueness]])</f>
        <v>1.7622354897563046</v>
      </c>
      <c r="Q106">
        <f>LN(1+Table1[[#This Row],[L* lab]])</f>
        <v>4.202734575430453</v>
      </c>
      <c r="R106">
        <f>LN(1+Table1[[#This Row],[a* lab]]+128)</f>
        <v>4.8675771810462738</v>
      </c>
      <c r="S106">
        <f>LN(1+Table1[[#This Row],[b* lab]]+128)</f>
        <v>5.287422658906678</v>
      </c>
      <c r="T106">
        <f>LN(1+Table1[[#This Row],[Hue]])</f>
        <v>3.9056355425822664</v>
      </c>
      <c r="U106">
        <f>LN(1+Table1[[#This Row],[Saturation]])</f>
        <v>4.5898978566169371</v>
      </c>
      <c r="V106">
        <f>LN(1+Table1[[#This Row],[Value]])</f>
        <v>4.3336629069452268</v>
      </c>
    </row>
    <row r="107" spans="1:23" x14ac:dyDescent="0.3">
      <c r="A107">
        <v>1</v>
      </c>
      <c r="B107">
        <v>196.76767777415401</v>
      </c>
      <c r="C107">
        <v>160.87270828894501</v>
      </c>
      <c r="D107">
        <v>4.6355579387690602</v>
      </c>
      <c r="E107">
        <v>67.498330046284593</v>
      </c>
      <c r="F107">
        <v>0.89777809425280597</v>
      </c>
      <c r="G107">
        <v>70.255665591854907</v>
      </c>
      <c r="H107">
        <v>48.790535538993602</v>
      </c>
      <c r="I107">
        <v>97.6441466448114</v>
      </c>
      <c r="J107">
        <v>77.163795205550898</v>
      </c>
      <c r="K107" t="s">
        <v>5</v>
      </c>
      <c r="L107" s="2">
        <v>1.7299999999999999E-2</v>
      </c>
      <c r="M107">
        <v>0</v>
      </c>
      <c r="N107">
        <f>LN(1+Table1[[#This Row],[Redness]])</f>
        <v>5.2870929972118725</v>
      </c>
      <c r="O107">
        <f>LN(1+Table1[[#This Row],[Greeness]])</f>
        <v>5.0868102750652167</v>
      </c>
      <c r="P107">
        <f>LN(1+Table1[[#This Row],[Blueness]])</f>
        <v>1.7290961556814934</v>
      </c>
      <c r="Q107">
        <f>LN(1+Table1[[#This Row],[L* lab]])</f>
        <v>4.2268093660846535</v>
      </c>
      <c r="R107">
        <f>LN(1+Table1[[#This Row],[a* lab]]+128)</f>
        <v>4.8667478187901025</v>
      </c>
      <c r="S107">
        <f>LN(1+Table1[[#This Row],[b* lab]]+128)</f>
        <v>5.2945887518550521</v>
      </c>
      <c r="T107">
        <f>LN(1+Table1[[#This Row],[Hue]])</f>
        <v>3.907824916551129</v>
      </c>
      <c r="U107">
        <f>LN(1+Table1[[#This Row],[Saturation]])</f>
        <v>4.5915188961396973</v>
      </c>
      <c r="V107">
        <f>LN(1+Table1[[#This Row],[Value]])</f>
        <v>4.3588065634332507</v>
      </c>
    </row>
    <row r="108" spans="1:23" x14ac:dyDescent="0.3">
      <c r="A108">
        <v>1</v>
      </c>
      <c r="B108">
        <v>191.76969780885301</v>
      </c>
      <c r="C108">
        <v>157.05865645796601</v>
      </c>
      <c r="D108">
        <v>4.2024926731693801</v>
      </c>
      <c r="E108">
        <v>65.997802488494102</v>
      </c>
      <c r="F108">
        <v>0.69937548165334695</v>
      </c>
      <c r="G108">
        <v>69.006276841638595</v>
      </c>
      <c r="H108">
        <v>48.896446585389803</v>
      </c>
      <c r="I108">
        <v>97.808573136847599</v>
      </c>
      <c r="J108">
        <v>75.203803062295293</v>
      </c>
      <c r="K108" t="s">
        <v>5</v>
      </c>
      <c r="L108" s="2">
        <v>1.7299999999999999E-2</v>
      </c>
      <c r="M108">
        <v>0</v>
      </c>
      <c r="N108">
        <f>LN(1+Table1[[#This Row],[Redness]])</f>
        <v>5.2614962007828785</v>
      </c>
      <c r="O108">
        <f>LN(1+Table1[[#This Row],[Greeness]])</f>
        <v>5.0629662075380324</v>
      </c>
      <c r="P108">
        <f>LN(1+Table1[[#This Row],[Blueness]])</f>
        <v>1.6491378709558535</v>
      </c>
      <c r="Q108">
        <f>LN(1+Table1[[#This Row],[L* lab]])</f>
        <v>4.2046598201738847</v>
      </c>
      <c r="R108">
        <f>LN(1+Table1[[#This Row],[a* lab]]+128)</f>
        <v>4.8652192762117563</v>
      </c>
      <c r="S108">
        <f>LN(1+Table1[[#This Row],[b* lab]]+128)</f>
        <v>5.2882987314124588</v>
      </c>
      <c r="T108">
        <f>LN(1+Table1[[#This Row],[Hue]])</f>
        <v>3.9099497895082385</v>
      </c>
      <c r="U108">
        <f>LN(1+Table1[[#This Row],[Saturation]])</f>
        <v>4.5931843736294526</v>
      </c>
      <c r="V108">
        <f>LN(1+Table1[[#This Row],[Value]])</f>
        <v>4.3334113704011967</v>
      </c>
    </row>
    <row r="109" spans="1:23" x14ac:dyDescent="0.3">
      <c r="A109">
        <v>1</v>
      </c>
      <c r="B109">
        <v>198.84184721856101</v>
      </c>
      <c r="C109">
        <v>163.097543900033</v>
      </c>
      <c r="D109">
        <v>4.7011175907369704</v>
      </c>
      <c r="E109">
        <v>68.285993833736001</v>
      </c>
      <c r="F109">
        <v>0.63512105940518804</v>
      </c>
      <c r="G109">
        <v>70.909383216707297</v>
      </c>
      <c r="H109">
        <v>48.953074384632998</v>
      </c>
      <c r="I109">
        <v>97.635750393341596</v>
      </c>
      <c r="J109">
        <v>77.977194987670899</v>
      </c>
      <c r="K109" t="s">
        <v>5</v>
      </c>
      <c r="L109" s="2">
        <v>1.7299999999999999E-2</v>
      </c>
      <c r="M109">
        <v>0</v>
      </c>
      <c r="N109">
        <f>LN(1+Table1[[#This Row],[Redness]])</f>
        <v>5.2975262898221418</v>
      </c>
      <c r="O109">
        <f>LN(1+Table1[[#This Row],[Greeness]])</f>
        <v>5.1004610308910028</v>
      </c>
      <c r="P109">
        <f>LN(1+Table1[[#This Row],[Blueness]])</f>
        <v>1.7406622241719241</v>
      </c>
      <c r="Q109">
        <f>LN(1+Table1[[#This Row],[L* lab]])</f>
        <v>4.2382427765877457</v>
      </c>
      <c r="R109">
        <f>LN(1+Table1[[#This Row],[a* lab]]+128)</f>
        <v>4.8647237430341805</v>
      </c>
      <c r="S109">
        <f>LN(1+Table1[[#This Row],[b* lab]]+128)</f>
        <v>5.297864179958041</v>
      </c>
      <c r="T109">
        <f>LN(1+Table1[[#This Row],[Hue]])</f>
        <v>3.9110840524423875</v>
      </c>
      <c r="U109">
        <f>LN(1+Table1[[#This Row],[Saturation]])</f>
        <v>4.5914337759465012</v>
      </c>
      <c r="V109">
        <f>LN(1+Table1[[#This Row],[Value]])</f>
        <v>4.3691591397513756</v>
      </c>
    </row>
    <row r="110" spans="1:23" x14ac:dyDescent="0.3">
      <c r="A110">
        <v>10</v>
      </c>
      <c r="B110">
        <v>196.16231110000001</v>
      </c>
      <c r="C110">
        <v>141.16227939999999</v>
      </c>
      <c r="D110">
        <v>14.71789465</v>
      </c>
      <c r="E110">
        <v>62.415769230000002</v>
      </c>
      <c r="F110">
        <v>11.43248432</v>
      </c>
      <c r="G110">
        <v>65.056407960000001</v>
      </c>
      <c r="H110">
        <v>41.812601520000001</v>
      </c>
      <c r="I110">
        <v>92.497083380000007</v>
      </c>
      <c r="J110">
        <v>76.926396510000004</v>
      </c>
      <c r="K110" t="s">
        <v>5</v>
      </c>
      <c r="L110" s="2">
        <v>0.17299999999999999</v>
      </c>
      <c r="M110">
        <v>0</v>
      </c>
      <c r="N110">
        <f>LN(1+Table1[[#This Row],[Redness]])</f>
        <v>5.2840273037201895</v>
      </c>
      <c r="O110">
        <f>LN(1+Table1[[#This Row],[Greeness]])</f>
        <v>4.956969217763997</v>
      </c>
      <c r="P110">
        <f>LN(1+Table1[[#This Row],[Blueness]])</f>
        <v>2.7547998499148409</v>
      </c>
      <c r="Q110">
        <f>LN(1+Table1[[#This Row],[L* lab]])</f>
        <v>4.1497125565412274</v>
      </c>
      <c r="R110">
        <f>LN(1+Table1[[#This Row],[a* lab]]+128)</f>
        <v>4.9447268346304165</v>
      </c>
      <c r="S110">
        <f>LN(1+Table1[[#This Row],[b* lab]]+128)</f>
        <v>5.2681488794804645</v>
      </c>
      <c r="T110">
        <f>LN(1+Table1[[#This Row],[Hue]])</f>
        <v>3.7568324872897056</v>
      </c>
      <c r="U110">
        <f>LN(1+Table1[[#This Row],[Saturation]])</f>
        <v>4.5379302420113135</v>
      </c>
      <c r="V110">
        <f>LN(1+Table1[[#This Row],[Value]])</f>
        <v>4.3557647466991058</v>
      </c>
      <c r="W110" t="s">
        <v>26</v>
      </c>
    </row>
    <row r="111" spans="1:23" x14ac:dyDescent="0.3">
      <c r="A111">
        <v>10</v>
      </c>
      <c r="B111">
        <v>195.30471109999999</v>
      </c>
      <c r="C111">
        <v>140.3688573</v>
      </c>
      <c r="D111">
        <v>13.281482179999999</v>
      </c>
      <c r="E111">
        <v>62.116095000000001</v>
      </c>
      <c r="F111">
        <v>11.464795990000001</v>
      </c>
      <c r="G111">
        <v>65.03938685</v>
      </c>
      <c r="H111">
        <v>41.891590180000001</v>
      </c>
      <c r="I111">
        <v>93.199609929999994</v>
      </c>
      <c r="J111">
        <v>76.590082789999997</v>
      </c>
      <c r="K111" t="s">
        <v>5</v>
      </c>
      <c r="L111" s="2">
        <v>0.17299999999999999</v>
      </c>
      <c r="M111">
        <v>0</v>
      </c>
      <c r="N111">
        <f>LN(1+Table1[[#This Row],[Redness]])</f>
        <v>5.2796681004850079</v>
      </c>
      <c r="O111">
        <f>LN(1+Table1[[#This Row],[Greeness]])</f>
        <v>4.9513724838017801</v>
      </c>
      <c r="P111">
        <f>LN(1+Table1[[#This Row],[Blueness]])</f>
        <v>2.6589637456428488</v>
      </c>
      <c r="Q111">
        <f>LN(1+Table1[[#This Row],[L* lab]])</f>
        <v>4.1449758083373824</v>
      </c>
      <c r="R111">
        <f>LN(1+Table1[[#This Row],[a* lab]]+128)</f>
        <v>4.9449568950290566</v>
      </c>
      <c r="S111">
        <f>LN(1+Table1[[#This Row],[b* lab]]+128)</f>
        <v>5.268061163456542</v>
      </c>
      <c r="T111">
        <f>LN(1+Table1[[#This Row],[Hue]])</f>
        <v>3.7586757736167384</v>
      </c>
      <c r="U111">
        <f>LN(1+Table1[[#This Row],[Saturation]])</f>
        <v>4.5454160407032553</v>
      </c>
      <c r="V111">
        <f>LN(1+Table1[[#This Row],[Value]])</f>
        <v>4.3514396199242347</v>
      </c>
      <c r="W111" t="s">
        <v>26</v>
      </c>
    </row>
    <row r="112" spans="1:23" x14ac:dyDescent="0.3">
      <c r="A112">
        <v>10</v>
      </c>
      <c r="B112">
        <v>198.03448890000001</v>
      </c>
      <c r="C112">
        <v>143.31294560000001</v>
      </c>
      <c r="D112">
        <v>14.357813780000001</v>
      </c>
      <c r="E112">
        <v>63.163742759999998</v>
      </c>
      <c r="F112">
        <v>11.088424910000001</v>
      </c>
      <c r="G112">
        <v>65.750381910000002</v>
      </c>
      <c r="H112">
        <v>42.124607840000003</v>
      </c>
      <c r="I112">
        <v>92.749841779999997</v>
      </c>
      <c r="J112">
        <v>77.660583880000004</v>
      </c>
      <c r="K112" t="s">
        <v>5</v>
      </c>
      <c r="L112" s="2">
        <v>0.17299999999999999</v>
      </c>
      <c r="M112">
        <v>0</v>
      </c>
      <c r="N112">
        <f>LN(1+Table1[[#This Row],[Redness]])</f>
        <v>5.2934781207631429</v>
      </c>
      <c r="O112">
        <f>LN(1+Table1[[#This Row],[Greeness]])</f>
        <v>4.9719841748535591</v>
      </c>
      <c r="P112">
        <f>LN(1+Table1[[#This Row],[Blueness]])</f>
        <v>2.7316243855581113</v>
      </c>
      <c r="Q112">
        <f>LN(1+Table1[[#This Row],[L* lab]])</f>
        <v>4.1614382966448815</v>
      </c>
      <c r="R112">
        <f>LN(1+Table1[[#This Row],[a* lab]]+128)</f>
        <v>4.9422738297298672</v>
      </c>
      <c r="S112">
        <f>LN(1+Table1[[#This Row],[b* lab]]+128)</f>
        <v>5.2717186457758922</v>
      </c>
      <c r="T112">
        <f>LN(1+Table1[[#This Row],[Hue]])</f>
        <v>3.7640937817449598</v>
      </c>
      <c r="U112">
        <f>LN(1+Table1[[#This Row],[Saturation]])</f>
        <v>4.5406299771690959</v>
      </c>
      <c r="V112">
        <f>LN(1+Table1[[#This Row],[Value]])</f>
        <v>4.3651421898085578</v>
      </c>
      <c r="W112" t="s">
        <v>26</v>
      </c>
    </row>
    <row r="113" spans="1:23" x14ac:dyDescent="0.3">
      <c r="A113">
        <v>10</v>
      </c>
      <c r="B113">
        <v>199.78453329999999</v>
      </c>
      <c r="C113">
        <v>145.55045620000001</v>
      </c>
      <c r="D113">
        <v>14.770871250000001</v>
      </c>
      <c r="E113">
        <v>63.920746020000003</v>
      </c>
      <c r="F113">
        <v>10.65286079</v>
      </c>
      <c r="G113">
        <v>66.337879990000005</v>
      </c>
      <c r="H113">
        <v>42.411868439999999</v>
      </c>
      <c r="I113">
        <v>92.606599220000007</v>
      </c>
      <c r="J113">
        <v>78.346875819999994</v>
      </c>
      <c r="K113" t="s">
        <v>5</v>
      </c>
      <c r="L113" s="2">
        <v>0.17299999999999999</v>
      </c>
      <c r="M113">
        <v>0</v>
      </c>
      <c r="N113">
        <f>LN(1+Table1[[#This Row],[Redness]])</f>
        <v>5.3022323594525593</v>
      </c>
      <c r="O113">
        <f>LN(1+Table1[[#This Row],[Greeness]])</f>
        <v>4.9873697800827967</v>
      </c>
      <c r="P113">
        <f>LN(1+Table1[[#This Row],[Blueness]])</f>
        <v>2.7581646467538805</v>
      </c>
      <c r="Q113">
        <f>LN(1+Table1[[#This Row],[L* lab]])</f>
        <v>4.1731672339543637</v>
      </c>
      <c r="R113">
        <f>LN(1+Table1[[#This Row],[a* lab]]+128)</f>
        <v>4.939159777609218</v>
      </c>
      <c r="S113">
        <f>LN(1+Table1[[#This Row],[b* lab]]+128)</f>
        <v>5.2747307770373295</v>
      </c>
      <c r="T113">
        <f>LN(1+Table1[[#This Row],[Hue]])</f>
        <v>3.770732870080697</v>
      </c>
      <c r="U113">
        <f>LN(1+Table1[[#This Row],[Saturation]])</f>
        <v>4.5391008854854018</v>
      </c>
      <c r="V113">
        <f>LN(1+Table1[[#This Row],[Value]])</f>
        <v>4.3738290740486061</v>
      </c>
      <c r="W113" t="s">
        <v>26</v>
      </c>
    </row>
    <row r="114" spans="1:23" x14ac:dyDescent="0.3">
      <c r="A114">
        <v>10</v>
      </c>
      <c r="B114">
        <v>173.60624444124699</v>
      </c>
      <c r="C114">
        <v>135.15519184663199</v>
      </c>
      <c r="D114">
        <v>3.7471666003403898</v>
      </c>
      <c r="E114">
        <v>58.352245357271798</v>
      </c>
      <c r="F114">
        <v>4.4019470300148704</v>
      </c>
      <c r="G114">
        <v>62.747024686563996</v>
      </c>
      <c r="H114">
        <v>46.417781227814203</v>
      </c>
      <c r="I114">
        <v>97.841571533097394</v>
      </c>
      <c r="J114">
        <v>68.080880173038395</v>
      </c>
      <c r="K114" t="s">
        <v>5</v>
      </c>
      <c r="L114" s="2">
        <v>0.17299999999999999</v>
      </c>
      <c r="M114">
        <v>0</v>
      </c>
      <c r="N114">
        <f>LN(1+Table1[[#This Row],[Redness]])</f>
        <v>5.1625334070342861</v>
      </c>
      <c r="O114">
        <f>LN(1+Table1[[#This Row],[Greeness]])</f>
        <v>4.9137953516768267</v>
      </c>
      <c r="P114">
        <f>LN(1+Table1[[#This Row],[Blueness]])</f>
        <v>1.5575479348750503</v>
      </c>
      <c r="Q114">
        <f>LN(1+Table1[[#This Row],[L* lab]])</f>
        <v>4.0834899528130348</v>
      </c>
      <c r="R114">
        <f>LN(1+Table1[[#This Row],[a* lab]]+128)</f>
        <v>4.893366728802409</v>
      </c>
      <c r="S114">
        <f>LN(1+Table1[[#This Row],[b* lab]]+128)</f>
        <v>5.2561769234988924</v>
      </c>
      <c r="T114">
        <f>LN(1+Table1[[#This Row],[Hue]])</f>
        <v>3.8589972897453286</v>
      </c>
      <c r="U114">
        <f>LN(1+Table1[[#This Row],[Saturation]])</f>
        <v>4.5935182807622956</v>
      </c>
      <c r="V114">
        <f>LN(1+Table1[[#This Row],[Value]])</f>
        <v>4.2352779945557089</v>
      </c>
    </row>
    <row r="115" spans="1:23" x14ac:dyDescent="0.3">
      <c r="A115">
        <v>10</v>
      </c>
      <c r="B115">
        <v>173.57727221902601</v>
      </c>
      <c r="C115">
        <v>135.24719738151001</v>
      </c>
      <c r="D115">
        <v>4.0562597209395497</v>
      </c>
      <c r="E115">
        <v>58.373258179974698</v>
      </c>
      <c r="F115">
        <v>4.3424618666407797</v>
      </c>
      <c r="G115">
        <v>62.711153315211099</v>
      </c>
      <c r="H115">
        <v>46.433513719858603</v>
      </c>
      <c r="I115">
        <v>97.663138918428601</v>
      </c>
      <c r="J115">
        <v>68.069518517265095</v>
      </c>
      <c r="K115" t="s">
        <v>5</v>
      </c>
      <c r="L115" s="2">
        <v>0.17299999999999999</v>
      </c>
      <c r="M115">
        <v>0</v>
      </c>
      <c r="N115">
        <f>LN(1+Table1[[#This Row],[Redness]])</f>
        <v>5.1623674643657171</v>
      </c>
      <c r="O115">
        <f>LN(1+Table1[[#This Row],[Greeness]])</f>
        <v>4.9144708636548042</v>
      </c>
      <c r="P115">
        <f>LN(1+Table1[[#This Row],[Blueness]])</f>
        <v>1.6206270243819365</v>
      </c>
      <c r="Q115">
        <f>LN(1+Table1[[#This Row],[L* lab]])</f>
        <v>4.0838439260082833</v>
      </c>
      <c r="R115">
        <f>LN(1+Table1[[#This Row],[a* lab]]+128)</f>
        <v>4.8929207200961251</v>
      </c>
      <c r="S115">
        <f>LN(1+Table1[[#This Row],[b* lab]]+128)</f>
        <v>5.255989829450491</v>
      </c>
      <c r="T115">
        <f>LN(1+Table1[[#This Row],[Hue]])</f>
        <v>3.8593290193689955</v>
      </c>
      <c r="U115">
        <f>LN(1+Table1[[#This Row],[Saturation]])</f>
        <v>4.5917114108116381</v>
      </c>
      <c r="V115">
        <f>LN(1+Table1[[#This Row],[Value]])</f>
        <v>4.2351135121379002</v>
      </c>
    </row>
    <row r="116" spans="1:23" x14ac:dyDescent="0.3">
      <c r="A116">
        <v>10</v>
      </c>
      <c r="B116">
        <v>174.140838885682</v>
      </c>
      <c r="C116">
        <v>136.002052767414</v>
      </c>
      <c r="D116">
        <v>3.8896523179637299</v>
      </c>
      <c r="E116">
        <v>58.633116170998299</v>
      </c>
      <c r="F116">
        <v>4.1788535830567897</v>
      </c>
      <c r="G116">
        <v>62.949085397716502</v>
      </c>
      <c r="H116">
        <v>46.559111785186502</v>
      </c>
      <c r="I116">
        <v>97.766375571144906</v>
      </c>
      <c r="J116">
        <v>68.290525053208796</v>
      </c>
      <c r="K116" t="s">
        <v>5</v>
      </c>
      <c r="L116" s="2">
        <v>0.17299999999999999</v>
      </c>
      <c r="M116">
        <v>0</v>
      </c>
      <c r="N116">
        <f>LN(1+Table1[[#This Row],[Redness]])</f>
        <v>5.165590443883235</v>
      </c>
      <c r="O116">
        <f>LN(1+Table1[[#This Row],[Greeness]])</f>
        <v>4.9199959094196224</v>
      </c>
      <c r="P116">
        <f>LN(1+Table1[[#This Row],[Blueness]])</f>
        <v>1.5871212003380977</v>
      </c>
      <c r="Q116">
        <f>LN(1+Table1[[#This Row],[L* lab]])</f>
        <v>4.0882110602132977</v>
      </c>
      <c r="R116">
        <f>LN(1+Table1[[#This Row],[a* lab]]+128)</f>
        <v>4.8916929886191225</v>
      </c>
      <c r="S116">
        <f>LN(1+Table1[[#This Row],[b* lab]]+128)</f>
        <v>5.2572301566410635</v>
      </c>
      <c r="T116">
        <f>LN(1+Table1[[#This Row],[Hue]])</f>
        <v>3.8619733959792759</v>
      </c>
      <c r="U116">
        <f>LN(1+Table1[[#This Row],[Saturation]])</f>
        <v>4.5927572186017498</v>
      </c>
      <c r="V116">
        <f>LN(1+Table1[[#This Row],[Value]])</f>
        <v>4.2383081732294112</v>
      </c>
    </row>
    <row r="117" spans="1:23" x14ac:dyDescent="0.3">
      <c r="A117">
        <v>10</v>
      </c>
      <c r="B117">
        <v>174.93119999677899</v>
      </c>
      <c r="C117">
        <v>136.87890257034601</v>
      </c>
      <c r="D117">
        <v>4.2127201275320703</v>
      </c>
      <c r="E117">
        <v>58.949153602614899</v>
      </c>
      <c r="F117">
        <v>4.0621244748280398</v>
      </c>
      <c r="G117">
        <v>63.163095510802101</v>
      </c>
      <c r="H117">
        <v>46.626299347706102</v>
      </c>
      <c r="I117">
        <v>97.591784582961907</v>
      </c>
      <c r="J117">
        <v>68.600470586972094</v>
      </c>
      <c r="K117" t="s">
        <v>5</v>
      </c>
      <c r="L117" s="2">
        <v>0.17299999999999999</v>
      </c>
      <c r="M117">
        <v>0</v>
      </c>
      <c r="N117">
        <f>LN(1+Table1[[#This Row],[Redness]])</f>
        <v>5.1700930095040585</v>
      </c>
      <c r="O117">
        <f>LN(1+Table1[[#This Row],[Greeness]])</f>
        <v>4.9263757823070531</v>
      </c>
      <c r="P117">
        <f>LN(1+Table1[[#This Row],[Blueness]])</f>
        <v>1.6511018169348251</v>
      </c>
      <c r="Q117">
        <f>LN(1+Table1[[#This Row],[L* lab]])</f>
        <v>4.0934967629854491</v>
      </c>
      <c r="R117">
        <f>LN(1+Table1[[#This Row],[a* lab]]+128)</f>
        <v>4.8908161204783909</v>
      </c>
      <c r="S117">
        <f>LN(1+Table1[[#This Row],[b* lab]]+128)</f>
        <v>5.2583444672298292</v>
      </c>
      <c r="T117">
        <f>LN(1+Table1[[#This Row],[Hue]])</f>
        <v>3.8633851159661603</v>
      </c>
      <c r="U117">
        <f>LN(1+Table1[[#This Row],[Saturation]])</f>
        <v>4.5909879374776148</v>
      </c>
      <c r="V117">
        <f>LN(1+Table1[[#This Row],[Value]])</f>
        <v>4.2427713286245865</v>
      </c>
    </row>
    <row r="118" spans="1:23" x14ac:dyDescent="0.3">
      <c r="A118">
        <v>0</v>
      </c>
      <c r="B118">
        <v>181.13935555222</v>
      </c>
      <c r="C118">
        <v>169.06225089282199</v>
      </c>
      <c r="D118">
        <v>33.167417357441401</v>
      </c>
      <c r="E118">
        <v>68.280245034735302</v>
      </c>
      <c r="F118">
        <v>-9.8330599426295304</v>
      </c>
      <c r="G118">
        <v>64.779003533667193</v>
      </c>
      <c r="H118">
        <v>55.102947975108599</v>
      </c>
      <c r="I118">
        <v>81.689557602583093</v>
      </c>
      <c r="J118">
        <v>71.035041393027498</v>
      </c>
      <c r="K118" t="s">
        <v>6</v>
      </c>
      <c r="L118" s="2">
        <v>0</v>
      </c>
      <c r="M118">
        <v>0</v>
      </c>
      <c r="N118">
        <f>LN(1+Table1[[#This Row],[Redness]])</f>
        <v>5.2047720839332374</v>
      </c>
      <c r="O118">
        <f>LN(1+Table1[[#This Row],[Greeness]])</f>
        <v>5.1361645517445798</v>
      </c>
      <c r="P118">
        <f>LN(1+Table1[[#This Row],[Blueness]])</f>
        <v>3.5312724811062939</v>
      </c>
      <c r="Q118">
        <f>LN(1+Table1[[#This Row],[L* lab]])</f>
        <v>4.2381598011234347</v>
      </c>
      <c r="R118">
        <f>LN(1+Table1[[#This Row],[a* lab]]+128)</f>
        <v>4.7805253676510455</v>
      </c>
      <c r="S118">
        <f>LN(1+Table1[[#This Row],[b* lab]]+128)</f>
        <v>5.2667183526878167</v>
      </c>
      <c r="T118">
        <f>LN(1+Table1[[#This Row],[Hue]])</f>
        <v>4.0271883597239331</v>
      </c>
      <c r="U118">
        <f>LN(1+Table1[[#This Row],[Saturation]])</f>
        <v>4.4150933256482086</v>
      </c>
      <c r="V118">
        <f>LN(1+Table1[[#This Row],[Value]])</f>
        <v>4.2771526866371001</v>
      </c>
    </row>
    <row r="119" spans="1:23" x14ac:dyDescent="0.3">
      <c r="A119">
        <v>0</v>
      </c>
      <c r="B119">
        <v>183.089866663295</v>
      </c>
      <c r="C119">
        <v>170.71133941108499</v>
      </c>
      <c r="D119">
        <v>33.323836098294599</v>
      </c>
      <c r="E119">
        <v>68.904472620694406</v>
      </c>
      <c r="F119">
        <v>-9.8201419839042998</v>
      </c>
      <c r="G119">
        <v>65.284112971755306</v>
      </c>
      <c r="H119">
        <v>55.040853841617697</v>
      </c>
      <c r="I119">
        <v>81.799191454119295</v>
      </c>
      <c r="J119">
        <v>71.799947711096195</v>
      </c>
      <c r="K119" t="s">
        <v>6</v>
      </c>
      <c r="L119" s="2">
        <v>0</v>
      </c>
      <c r="M119">
        <v>0</v>
      </c>
      <c r="N119">
        <f>LN(1+Table1[[#This Row],[Redness]])</f>
        <v>5.2154240441564808</v>
      </c>
      <c r="O119">
        <f>LN(1+Table1[[#This Row],[Greeness]])</f>
        <v>5.1458148077209183</v>
      </c>
      <c r="P119">
        <f>LN(1+Table1[[#This Row],[Blueness]])</f>
        <v>3.5358400427992991</v>
      </c>
      <c r="Q119">
        <f>LN(1+Table1[[#This Row],[L* lab]])</f>
        <v>4.247129633182654</v>
      </c>
      <c r="R119">
        <f>LN(1+Table1[[#This Row],[a* lab]]+128)</f>
        <v>4.7806337639780967</v>
      </c>
      <c r="S119">
        <f>LN(1+Table1[[#This Row],[b* lab]]+128)</f>
        <v>5.2693215875836765</v>
      </c>
      <c r="T119">
        <f>LN(1+Table1[[#This Row],[Hue]])</f>
        <v>4.0260809576414163</v>
      </c>
      <c r="U119">
        <f>LN(1+Table1[[#This Row],[Saturation]])</f>
        <v>4.4164182962966674</v>
      </c>
      <c r="V119">
        <f>LN(1+Table1[[#This Row],[Value]])</f>
        <v>4.287715236948209</v>
      </c>
    </row>
    <row r="120" spans="1:23" x14ac:dyDescent="0.3">
      <c r="A120">
        <v>0</v>
      </c>
      <c r="B120">
        <v>181.60531110776699</v>
      </c>
      <c r="C120">
        <v>168.96420647041299</v>
      </c>
      <c r="D120">
        <v>31.126173899948402</v>
      </c>
      <c r="E120">
        <v>68.287564891904196</v>
      </c>
      <c r="F120">
        <v>-9.6407174278240504</v>
      </c>
      <c r="G120">
        <v>65.362725954398897</v>
      </c>
      <c r="H120">
        <v>54.959658246885397</v>
      </c>
      <c r="I120">
        <v>82.860537662647005</v>
      </c>
      <c r="J120">
        <v>71.217769061869504</v>
      </c>
      <c r="K120" t="s">
        <v>6</v>
      </c>
      <c r="L120" s="2">
        <v>0</v>
      </c>
      <c r="M120">
        <v>0</v>
      </c>
      <c r="N120">
        <f>LN(1+Table1[[#This Row],[Redness]])</f>
        <v>5.2073270537606984</v>
      </c>
      <c r="O120">
        <f>LN(1+Table1[[#This Row],[Greeness]])</f>
        <v>5.1355878647074205</v>
      </c>
      <c r="P120">
        <f>LN(1+Table1[[#This Row],[Blueness]])</f>
        <v>3.4696710841803897</v>
      </c>
      <c r="Q120">
        <f>LN(1+Table1[[#This Row],[L* lab]])</f>
        <v>4.2382654513055309</v>
      </c>
      <c r="R120">
        <f>LN(1+Table1[[#This Row],[a* lab]]+128)</f>
        <v>4.7821381258155364</v>
      </c>
      <c r="S120">
        <f>LN(1+Table1[[#This Row],[b* lab]]+128)</f>
        <v>5.2697261347243813</v>
      </c>
      <c r="T120">
        <f>LN(1+Table1[[#This Row],[Hue]])</f>
        <v>4.0246310426822314</v>
      </c>
      <c r="U120">
        <f>LN(1+Table1[[#This Row],[Saturation]])</f>
        <v>4.4291551531535802</v>
      </c>
      <c r="V120">
        <f>LN(1+Table1[[#This Row],[Value]])</f>
        <v>4.2796861245091149</v>
      </c>
    </row>
    <row r="121" spans="1:23" x14ac:dyDescent="0.3">
      <c r="A121">
        <v>0</v>
      </c>
      <c r="B121">
        <v>181.444444441103</v>
      </c>
      <c r="C121">
        <v>168.82458427956999</v>
      </c>
      <c r="D121">
        <v>33.159350870308302</v>
      </c>
      <c r="E121">
        <v>68.241578424438202</v>
      </c>
      <c r="F121">
        <v>-9.5863284606586703</v>
      </c>
      <c r="G121">
        <v>64.813785613914803</v>
      </c>
      <c r="H121">
        <v>54.8936768257797</v>
      </c>
      <c r="I121">
        <v>81.724791314251704</v>
      </c>
      <c r="J121">
        <v>71.154684094550404</v>
      </c>
      <c r="K121" t="s">
        <v>6</v>
      </c>
      <c r="L121" s="2">
        <v>0</v>
      </c>
      <c r="M121">
        <v>0</v>
      </c>
      <c r="N121">
        <f>LN(1+Table1[[#This Row],[Redness]])</f>
        <v>5.206445712657839</v>
      </c>
      <c r="O121">
        <f>LN(1+Table1[[#This Row],[Greeness]])</f>
        <v>5.1347660471401433</v>
      </c>
      <c r="P121">
        <f>LN(1+Table1[[#This Row],[Blueness]])</f>
        <v>3.5310363661141819</v>
      </c>
      <c r="Q121">
        <f>LN(1+Table1[[#This Row],[L* lab]])</f>
        <v>4.2376015264727585</v>
      </c>
      <c r="R121">
        <f>LN(1+Table1[[#This Row],[a* lab]]+128)</f>
        <v>4.7825936964081812</v>
      </c>
      <c r="S121">
        <f>LN(1+Table1[[#This Row],[b* lab]]+128)</f>
        <v>5.2668978301255542</v>
      </c>
      <c r="T121">
        <f>LN(1+Table1[[#This Row],[Hue]])</f>
        <v>4.0234512579450827</v>
      </c>
      <c r="U121">
        <f>LN(1+Table1[[#This Row],[Saturation]])</f>
        <v>4.415519331160211</v>
      </c>
      <c r="V121">
        <f>LN(1+Table1[[#This Row],[Value]])</f>
        <v>4.2788122047279531</v>
      </c>
    </row>
    <row r="122" spans="1:23" x14ac:dyDescent="0.3">
      <c r="A122">
        <v>0</v>
      </c>
      <c r="B122">
        <v>182.72491110774601</v>
      </c>
      <c r="C122">
        <v>168.43438436726601</v>
      </c>
      <c r="D122">
        <v>28.993510254947299</v>
      </c>
      <c r="E122">
        <v>68.234629894224994</v>
      </c>
      <c r="F122">
        <v>-8.9279441482637001</v>
      </c>
      <c r="G122">
        <v>65.896588112440099</v>
      </c>
      <c r="H122">
        <v>54.422534370516701</v>
      </c>
      <c r="I122">
        <v>84.132699762075205</v>
      </c>
      <c r="J122">
        <v>71.656827885390797</v>
      </c>
      <c r="K122" t="s">
        <v>6</v>
      </c>
      <c r="L122" s="2">
        <v>0</v>
      </c>
      <c r="M122">
        <v>0</v>
      </c>
      <c r="N122">
        <f>LN(1+Table1[[#This Row],[Redness]])</f>
        <v>5.213439590581622</v>
      </c>
      <c r="O122">
        <f>LN(1+Table1[[#This Row],[Greeness]])</f>
        <v>5.132465738995486</v>
      </c>
      <c r="P122">
        <f>LN(1+Table1[[#This Row],[Blueness]])</f>
        <v>3.4009810334254733</v>
      </c>
      <c r="Q122">
        <f>LN(1+Table1[[#This Row],[L* lab]])</f>
        <v>4.2375011694467624</v>
      </c>
      <c r="R122">
        <f>LN(1+Table1[[#This Row],[a* lab]]+128)</f>
        <v>4.7880920280059502</v>
      </c>
      <c r="S122">
        <f>LN(1+Table1[[#This Row],[b* lab]]+128)</f>
        <v>5.2724691005236526</v>
      </c>
      <c r="T122">
        <f>LN(1+Table1[[#This Row],[Hue]])</f>
        <v>4.0149862686403495</v>
      </c>
      <c r="U122">
        <f>LN(1+Table1[[#This Row],[Saturation]])</f>
        <v>4.4442112127970201</v>
      </c>
      <c r="V122">
        <f>LN(1+Table1[[#This Row],[Value]])</f>
        <v>4.2857473688815002</v>
      </c>
    </row>
    <row r="123" spans="1:23" x14ac:dyDescent="0.3">
      <c r="A123">
        <v>0</v>
      </c>
      <c r="B123">
        <v>177.97299999672299</v>
      </c>
      <c r="C123">
        <v>164.274118635603</v>
      </c>
      <c r="D123">
        <v>31.438433616736202</v>
      </c>
      <c r="E123">
        <v>66.683161783514606</v>
      </c>
      <c r="F123">
        <v>-8.7880381391573898</v>
      </c>
      <c r="G123">
        <v>63.798378619664298</v>
      </c>
      <c r="H123">
        <v>54.390860109171797</v>
      </c>
      <c r="I123">
        <v>82.335279161830599</v>
      </c>
      <c r="J123">
        <v>69.793333332048206</v>
      </c>
      <c r="K123" t="s">
        <v>6</v>
      </c>
      <c r="L123" s="2">
        <v>0</v>
      </c>
      <c r="M123">
        <v>0</v>
      </c>
      <c r="N123">
        <f>LN(1+Table1[[#This Row],[Redness]])</f>
        <v>5.1872349564564244</v>
      </c>
      <c r="O123">
        <f>LN(1+Table1[[#This Row],[Greeness]])</f>
        <v>5.1076054204908745</v>
      </c>
      <c r="P123">
        <f>LN(1+Table1[[#This Row],[Blueness]])</f>
        <v>3.4793439425307557</v>
      </c>
      <c r="Q123">
        <f>LN(1+Table1[[#This Row],[L* lab]])</f>
        <v>4.2148374308662735</v>
      </c>
      <c r="R123">
        <f>LN(1+Table1[[#This Row],[a* lab]]+128)</f>
        <v>4.7892565334628543</v>
      </c>
      <c r="S123">
        <f>LN(1+Table1[[#This Row],[b* lab]]+128)</f>
        <v>5.2616449724920402</v>
      </c>
      <c r="T123">
        <f>LN(1+Table1[[#This Row],[Hue]])</f>
        <v>4.014414600163696</v>
      </c>
      <c r="U123">
        <f>LN(1+Table1[[#This Row],[Saturation]])</f>
        <v>4.4228719788634985</v>
      </c>
      <c r="V123">
        <f>LN(1+Table1[[#This Row],[Value]])</f>
        <v>4.2597648342894363</v>
      </c>
    </row>
    <row r="124" spans="1:23" x14ac:dyDescent="0.3">
      <c r="A124">
        <v>0</v>
      </c>
      <c r="B124">
        <v>178.445688885603</v>
      </c>
      <c r="C124">
        <v>162.61489678628399</v>
      </c>
      <c r="D124">
        <v>17.571875574249901</v>
      </c>
      <c r="E124">
        <v>66.227598702001302</v>
      </c>
      <c r="F124">
        <v>-8.0459687527540407</v>
      </c>
      <c r="G124">
        <v>66.602700822297393</v>
      </c>
      <c r="H124">
        <v>54.095698321511101</v>
      </c>
      <c r="I124">
        <v>90.152815860115894</v>
      </c>
      <c r="J124">
        <v>69.978701523765906</v>
      </c>
      <c r="K124" t="s">
        <v>6</v>
      </c>
      <c r="L124" s="2">
        <v>0</v>
      </c>
      <c r="M124">
        <v>0</v>
      </c>
      <c r="N124">
        <f>LN(1+Table1[[#This Row],[Redness]])</f>
        <v>5.1898725932626997</v>
      </c>
      <c r="O124">
        <f>LN(1+Table1[[#This Row],[Greeness]])</f>
        <v>5.0975154761741672</v>
      </c>
      <c r="P124">
        <f>LN(1+Table1[[#This Row],[Blueness]])</f>
        <v>2.9216483704932932</v>
      </c>
      <c r="Q124">
        <f>LN(1+Table1[[#This Row],[L* lab]])</f>
        <v>4.2080838581872655</v>
      </c>
      <c r="R124">
        <f>LN(1+Table1[[#This Row],[a* lab]]+128)</f>
        <v>4.7954105663662219</v>
      </c>
      <c r="S124">
        <f>LN(1+Table1[[#This Row],[b* lab]]+128)</f>
        <v>5.2760855653903453</v>
      </c>
      <c r="T124">
        <f>LN(1+Table1[[#This Row],[Hue]])</f>
        <v>4.009071642721219</v>
      </c>
      <c r="U124">
        <f>LN(1+Table1[[#This Row],[Saturation]])</f>
        <v>4.5125373932434014</v>
      </c>
      <c r="V124">
        <f>LN(1+Table1[[#This Row],[Value]])</f>
        <v>4.2623798535002448</v>
      </c>
    </row>
    <row r="125" spans="1:23" x14ac:dyDescent="0.3">
      <c r="A125">
        <v>0</v>
      </c>
      <c r="B125">
        <v>179.00622221892601</v>
      </c>
      <c r="C125">
        <v>162.81631896323699</v>
      </c>
      <c r="D125">
        <v>19.411301301322499</v>
      </c>
      <c r="E125">
        <v>66.3390620237181</v>
      </c>
      <c r="F125">
        <v>-7.8726992159361604</v>
      </c>
      <c r="G125">
        <v>66.416469888176493</v>
      </c>
      <c r="H125">
        <v>53.913376504990197</v>
      </c>
      <c r="I125">
        <v>89.156074542714805</v>
      </c>
      <c r="J125">
        <v>70.198518517225907</v>
      </c>
      <c r="K125" t="s">
        <v>6</v>
      </c>
      <c r="L125" s="2">
        <v>0</v>
      </c>
      <c r="M125">
        <v>0</v>
      </c>
      <c r="N125">
        <f>LN(1+Table1[[#This Row],[Redness]])</f>
        <v>5.1929914181756773</v>
      </c>
      <c r="O125">
        <f>LN(1+Table1[[#This Row],[Greeness]])</f>
        <v>5.0987457938266818</v>
      </c>
      <c r="P125">
        <f>LN(1+Table1[[#This Row],[Blueness]])</f>
        <v>3.0160887328158767</v>
      </c>
      <c r="Q125">
        <f>LN(1+Table1[[#This Row],[L* lab]])</f>
        <v>4.2097404846742039</v>
      </c>
      <c r="R125">
        <f>LN(1+Table1[[#This Row],[a* lab]]+128)</f>
        <v>4.7968420651517949</v>
      </c>
      <c r="S125">
        <f>LN(1+Table1[[#This Row],[b* lab]]+128)</f>
        <v>5.2751330241230532</v>
      </c>
      <c r="T125">
        <f>LN(1+Table1[[#This Row],[Hue]])</f>
        <v>4.0057569710227261</v>
      </c>
      <c r="U125">
        <f>LN(1+Table1[[#This Row],[Saturation]])</f>
        <v>4.5015423299939155</v>
      </c>
      <c r="V125">
        <f>LN(1+Table1[[#This Row],[Value]])</f>
        <v>4.2654720108591215</v>
      </c>
    </row>
    <row r="126" spans="1:23" x14ac:dyDescent="0.3">
      <c r="A126">
        <v>0</v>
      </c>
      <c r="B126">
        <v>178.97997777448199</v>
      </c>
      <c r="C126">
        <v>163.02829669337399</v>
      </c>
      <c r="D126">
        <v>23.616341044239199</v>
      </c>
      <c r="E126">
        <v>66.407416809794896</v>
      </c>
      <c r="F126">
        <v>-7.90019657007789</v>
      </c>
      <c r="G126">
        <v>65.582694000318895</v>
      </c>
      <c r="H126">
        <v>53.839608257057698</v>
      </c>
      <c r="I126">
        <v>86.805037447263302</v>
      </c>
      <c r="J126">
        <v>70.188226578228296</v>
      </c>
      <c r="K126" t="s">
        <v>6</v>
      </c>
      <c r="L126" s="2">
        <v>0</v>
      </c>
      <c r="M126">
        <v>0</v>
      </c>
      <c r="N126">
        <f>LN(1+Table1[[#This Row],[Redness]])</f>
        <v>5.192845610116974</v>
      </c>
      <c r="O126">
        <f>LN(1+Table1[[#This Row],[Greeness]])</f>
        <v>5.1000389537540007</v>
      </c>
      <c r="P126">
        <f>LN(1+Table1[[#This Row],[Blueness]])</f>
        <v>3.2034104924996201</v>
      </c>
      <c r="Q126">
        <f>LN(1+Table1[[#This Row],[L* lab]])</f>
        <v>4.2107550535524707</v>
      </c>
      <c r="R126">
        <f>LN(1+Table1[[#This Row],[a* lab]]+128)</f>
        <v>4.7966150273531225</v>
      </c>
      <c r="S126">
        <f>LN(1+Table1[[#This Row],[b* lab]]+128)</f>
        <v>5.2708572346581333</v>
      </c>
      <c r="T126">
        <f>LN(1+Table1[[#This Row],[Hue]])</f>
        <v>4.0044127112889081</v>
      </c>
      <c r="U126">
        <f>LN(1+Table1[[#This Row],[Saturation]])</f>
        <v>4.4751188731098557</v>
      </c>
      <c r="V126">
        <f>LN(1+Table1[[#This Row],[Value]])</f>
        <v>4.2653274476975911</v>
      </c>
    </row>
    <row r="127" spans="1:23" x14ac:dyDescent="0.3">
      <c r="A127">
        <v>0</v>
      </c>
      <c r="B127">
        <v>175.46364444121301</v>
      </c>
      <c r="C127">
        <v>158.72529766045599</v>
      </c>
      <c r="D127">
        <v>14.5262544709148</v>
      </c>
      <c r="E127">
        <v>64.8869317717146</v>
      </c>
      <c r="F127">
        <v>-7.3872365399639</v>
      </c>
      <c r="G127">
        <v>66.007911967376401</v>
      </c>
      <c r="H127">
        <v>53.759680040599697</v>
      </c>
      <c r="I127">
        <v>91.721216940879302</v>
      </c>
      <c r="J127">
        <v>68.809272329887705</v>
      </c>
      <c r="K127" t="s">
        <v>6</v>
      </c>
      <c r="L127" s="2">
        <v>0</v>
      </c>
      <c r="M127">
        <v>0</v>
      </c>
      <c r="N127">
        <f>LN(1+Table1[[#This Row],[Redness]])</f>
        <v>5.1731148746534119</v>
      </c>
      <c r="O127">
        <f>LN(1+Table1[[#This Row],[Greeness]])</f>
        <v>5.0734554500675504</v>
      </c>
      <c r="P127">
        <f>LN(1+Table1[[#This Row],[Blueness]])</f>
        <v>2.7425324278346697</v>
      </c>
      <c r="Q127">
        <f>LN(1+Table1[[#This Row],[L* lab]])</f>
        <v>4.1879401179242857</v>
      </c>
      <c r="R127">
        <f>LN(1+Table1[[#This Row],[a* lab]]+128)</f>
        <v>4.8008419266886424</v>
      </c>
      <c r="S127">
        <f>LN(1+Table1[[#This Row],[b* lab]]+128)</f>
        <v>5.2730401319323104</v>
      </c>
      <c r="T127">
        <f>LN(1+Table1[[#This Row],[Hue]])</f>
        <v>4.00295415746307</v>
      </c>
      <c r="U127">
        <f>LN(1+Table1[[#This Row],[Saturation]])</f>
        <v>4.5295973238469971</v>
      </c>
      <c r="V127">
        <f>LN(1+Table1[[#This Row],[Value]])</f>
        <v>4.2457668423480914</v>
      </c>
    </row>
    <row r="128" spans="1:23" x14ac:dyDescent="0.3">
      <c r="A128">
        <v>0</v>
      </c>
      <c r="B128">
        <v>178.18293333005201</v>
      </c>
      <c r="C128">
        <v>161.70574143505701</v>
      </c>
      <c r="D128">
        <v>21.934089596759598</v>
      </c>
      <c r="E128">
        <v>65.968469631876204</v>
      </c>
      <c r="F128">
        <v>-7.5988848518442698</v>
      </c>
      <c r="G128">
        <v>65.567279167321004</v>
      </c>
      <c r="H128">
        <v>53.672711489710501</v>
      </c>
      <c r="I128">
        <v>87.690128798064706</v>
      </c>
      <c r="J128">
        <v>69.875660129432305</v>
      </c>
      <c r="K128" t="s">
        <v>6</v>
      </c>
      <c r="L128" s="2">
        <v>0</v>
      </c>
      <c r="M128">
        <v>0</v>
      </c>
      <c r="N128">
        <f>LN(1+Table1[[#This Row],[Redness]])</f>
        <v>5.1884072578918436</v>
      </c>
      <c r="O128">
        <f>LN(1+Table1[[#This Row],[Greeness]])</f>
        <v>5.091943302078441</v>
      </c>
      <c r="P128">
        <f>LN(1+Table1[[#This Row],[Blueness]])</f>
        <v>3.1326244323303616</v>
      </c>
      <c r="Q128">
        <f>LN(1+Table1[[#This Row],[L* lab]])</f>
        <v>4.204221906113542</v>
      </c>
      <c r="R128">
        <f>LN(1+Table1[[#This Row],[a* lab]]+128)</f>
        <v>4.7991000643176056</v>
      </c>
      <c r="S128">
        <f>LN(1+Table1[[#This Row],[b* lab]]+128)</f>
        <v>5.2707780115612879</v>
      </c>
      <c r="T128">
        <f>LN(1+Table1[[#This Row],[Hue]])</f>
        <v>4.0013647090742994</v>
      </c>
      <c r="U128">
        <f>LN(1+Table1[[#This Row],[Saturation]])</f>
        <v>4.485148595614894</v>
      </c>
      <c r="V128">
        <f>LN(1+Table1[[#This Row],[Value]])</f>
        <v>4.2609270760000584</v>
      </c>
    </row>
    <row r="129" spans="1:23" x14ac:dyDescent="0.3">
      <c r="A129">
        <v>0</v>
      </c>
      <c r="B129">
        <v>176.83022221896599</v>
      </c>
      <c r="C129">
        <v>159.90840850566701</v>
      </c>
      <c r="D129">
        <v>18.2867041089516</v>
      </c>
      <c r="E129">
        <v>65.344432869849797</v>
      </c>
      <c r="F129">
        <v>-7.3344590361559003</v>
      </c>
      <c r="G129">
        <v>65.770396815472395</v>
      </c>
      <c r="H129">
        <v>53.596024391906198</v>
      </c>
      <c r="I129">
        <v>89.6586093262341</v>
      </c>
      <c r="J129">
        <v>69.345185183908299</v>
      </c>
      <c r="K129" t="s">
        <v>6</v>
      </c>
      <c r="L129" s="2">
        <v>0</v>
      </c>
      <c r="M129">
        <v>0</v>
      </c>
      <c r="N129">
        <f>LN(1+Table1[[#This Row],[Redness]])</f>
        <v>5.1808292873693977</v>
      </c>
      <c r="O129">
        <f>LN(1+Table1[[#This Row],[Greeness]])</f>
        <v>5.080835311835278</v>
      </c>
      <c r="P129">
        <f>LN(1+Table1[[#This Row],[Blueness]])</f>
        <v>2.9594159522339369</v>
      </c>
      <c r="Q129">
        <f>LN(1+Table1[[#This Row],[L* lab]])</f>
        <v>4.1948598517545586</v>
      </c>
      <c r="R129">
        <f>LN(1+Table1[[#This Row],[a* lab]]+128)</f>
        <v>4.801275812519612</v>
      </c>
      <c r="S129">
        <f>LN(1+Table1[[#This Row],[b* lab]]+128)</f>
        <v>5.2718214125939067</v>
      </c>
      <c r="T129">
        <f>LN(1+Table1[[#This Row],[Hue]])</f>
        <v>3.9999610667647887</v>
      </c>
      <c r="U129">
        <f>LN(1+Table1[[#This Row],[Saturation]])</f>
        <v>4.5071009059535578</v>
      </c>
      <c r="V129">
        <f>LN(1+Table1[[#This Row],[Value]])</f>
        <v>4.2534143403356026</v>
      </c>
    </row>
    <row r="130" spans="1:23" x14ac:dyDescent="0.3">
      <c r="A130">
        <v>0</v>
      </c>
      <c r="B130">
        <v>177.281599996735</v>
      </c>
      <c r="C130">
        <v>160.33223063263699</v>
      </c>
      <c r="D130">
        <v>18.608208064437399</v>
      </c>
      <c r="E130">
        <v>65.502293848672906</v>
      </c>
      <c r="F130">
        <v>-7.3507938259208601</v>
      </c>
      <c r="G130">
        <v>65.8560735213794</v>
      </c>
      <c r="H130">
        <v>53.590846269425001</v>
      </c>
      <c r="I130">
        <v>89.503587476207301</v>
      </c>
      <c r="J130">
        <v>69.522196077151193</v>
      </c>
      <c r="K130" t="s">
        <v>6</v>
      </c>
      <c r="L130" s="2">
        <v>0</v>
      </c>
      <c r="M130">
        <v>0</v>
      </c>
      <c r="N130">
        <f>LN(1+Table1[[#This Row],[Redness]])</f>
        <v>5.1833643226663924</v>
      </c>
      <c r="O130">
        <f>LN(1+Table1[[#This Row],[Greeness]])</f>
        <v>5.0834657831034926</v>
      </c>
      <c r="P130">
        <f>LN(1+Table1[[#This Row],[Blueness]])</f>
        <v>2.9759482573709306</v>
      </c>
      <c r="Q130">
        <f>LN(1+Table1[[#This Row],[L* lab]])</f>
        <v>4.1972364410319116</v>
      </c>
      <c r="R130">
        <f>LN(1+Table1[[#This Row],[a* lab]]+128)</f>
        <v>4.8011415437177281</v>
      </c>
      <c r="S130">
        <f>LN(1+Table1[[#This Row],[b* lab]]+128)</f>
        <v>5.2722612015395285</v>
      </c>
      <c r="T130">
        <f>LN(1+Table1[[#This Row],[Hue]])</f>
        <v>3.9998662179527709</v>
      </c>
      <c r="U130">
        <f>LN(1+Table1[[#This Row],[Saturation]])</f>
        <v>4.5053894905412868</v>
      </c>
      <c r="V130">
        <f>LN(1+Table1[[#This Row],[Value]])</f>
        <v>4.2559274982409239</v>
      </c>
    </row>
    <row r="131" spans="1:23" x14ac:dyDescent="0.3">
      <c r="A131">
        <v>0</v>
      </c>
      <c r="B131">
        <v>177.477155552287</v>
      </c>
      <c r="C131">
        <v>160.48778615323201</v>
      </c>
      <c r="D131">
        <v>19.717250047460698</v>
      </c>
      <c r="E131">
        <v>65.565597963767701</v>
      </c>
      <c r="F131">
        <v>-7.3222464974094796</v>
      </c>
      <c r="G131">
        <v>65.690600411387393</v>
      </c>
      <c r="H131">
        <v>53.5385219667737</v>
      </c>
      <c r="I131">
        <v>88.890260278229505</v>
      </c>
      <c r="J131">
        <v>69.598884530308894</v>
      </c>
      <c r="K131" t="s">
        <v>6</v>
      </c>
      <c r="L131" s="2">
        <v>0</v>
      </c>
      <c r="M131">
        <v>0</v>
      </c>
      <c r="N131">
        <f>LN(1+Table1[[#This Row],[Redness]])</f>
        <v>5.1844606129303097</v>
      </c>
      <c r="O131">
        <f>LN(1+Table1[[#This Row],[Greeness]])</f>
        <v>5.0844295122686383</v>
      </c>
      <c r="P131">
        <f>LN(1+Table1[[#This Row],[Blueness]])</f>
        <v>3.0309666888660933</v>
      </c>
      <c r="Q131">
        <f>LN(1+Table1[[#This Row],[L* lab]])</f>
        <v>4.19818789699936</v>
      </c>
      <c r="R131">
        <f>LN(1+Table1[[#This Row],[a* lab]]+128)</f>
        <v>4.8013761854416064</v>
      </c>
      <c r="S131">
        <f>LN(1+Table1[[#This Row],[b* lab]]+128)</f>
        <v>5.2714116339214856</v>
      </c>
      <c r="T131">
        <f>LN(1+Table1[[#This Row],[Hue]])</f>
        <v>3.9989072770644172</v>
      </c>
      <c r="U131">
        <f>LN(1+Table1[[#This Row],[Saturation]])</f>
        <v>4.4985895961004116</v>
      </c>
      <c r="V131">
        <f>LN(1+Table1[[#This Row],[Value]])</f>
        <v>4.2570143445203961</v>
      </c>
    </row>
    <row r="132" spans="1:23" x14ac:dyDescent="0.3">
      <c r="A132">
        <v>0</v>
      </c>
      <c r="B132">
        <v>175.690488885653</v>
      </c>
      <c r="C132">
        <v>158.36849774064501</v>
      </c>
      <c r="D132">
        <v>14.96251142793</v>
      </c>
      <c r="E132">
        <v>64.811677774671395</v>
      </c>
      <c r="F132">
        <v>-7.0875585341009399</v>
      </c>
      <c r="G132">
        <v>65.880531149115797</v>
      </c>
      <c r="H132">
        <v>53.533674192012498</v>
      </c>
      <c r="I132">
        <v>91.483596224910997</v>
      </c>
      <c r="J132">
        <v>68.898230935550501</v>
      </c>
      <c r="K132" t="s">
        <v>6</v>
      </c>
      <c r="L132" s="2">
        <v>0</v>
      </c>
      <c r="M132">
        <v>0</v>
      </c>
      <c r="N132">
        <f>LN(1+Table1[[#This Row],[Redness]])</f>
        <v>5.1743995515365704</v>
      </c>
      <c r="O132">
        <f>LN(1+Table1[[#This Row],[Greeness]])</f>
        <v>5.0712191165903393</v>
      </c>
      <c r="P132">
        <f>LN(1+Table1[[#This Row],[Blueness]])</f>
        <v>2.7702429372819721</v>
      </c>
      <c r="Q132">
        <f>LN(1+Table1[[#This Row],[L* lab]])</f>
        <v>4.1867972963638636</v>
      </c>
      <c r="R132">
        <f>LN(1+Table1[[#This Row],[a* lab]]+128)</f>
        <v>4.8033030941659485</v>
      </c>
      <c r="S132">
        <f>LN(1+Table1[[#This Row],[b* lab]]+128)</f>
        <v>5.2723867100366801</v>
      </c>
      <c r="T132">
        <f>LN(1+Table1[[#This Row],[Hue]])</f>
        <v>3.9988183859457798</v>
      </c>
      <c r="U132">
        <f>LN(1+Table1[[#This Row],[Saturation]])</f>
        <v>4.5270312906830474</v>
      </c>
      <c r="V132">
        <f>LN(1+Table1[[#This Row],[Value]])</f>
        <v>4.2470403404152144</v>
      </c>
    </row>
    <row r="133" spans="1:23" x14ac:dyDescent="0.3">
      <c r="A133">
        <v>0</v>
      </c>
      <c r="B133">
        <v>173.929066663464</v>
      </c>
      <c r="C133">
        <v>156.02823159994401</v>
      </c>
      <c r="D133">
        <v>10.4628782416988</v>
      </c>
      <c r="E133">
        <v>63.999542130057598</v>
      </c>
      <c r="F133">
        <v>-6.7094459141507699</v>
      </c>
      <c r="G133">
        <v>65.905119045072794</v>
      </c>
      <c r="H133">
        <v>53.429527450410802</v>
      </c>
      <c r="I133">
        <v>93.984399248261596</v>
      </c>
      <c r="J133">
        <v>68.207477122927102</v>
      </c>
      <c r="K133" t="s">
        <v>6</v>
      </c>
      <c r="L133" s="2">
        <v>0</v>
      </c>
      <c r="M133">
        <v>0</v>
      </c>
      <c r="N133">
        <f>LN(1+Table1[[#This Row],[Redness]])</f>
        <v>5.1643805584021116</v>
      </c>
      <c r="O133">
        <f>LN(1+Table1[[#This Row],[Greeness]])</f>
        <v>5.0564256082907137</v>
      </c>
      <c r="P133">
        <f>LN(1+Table1[[#This Row],[Blueness]])</f>
        <v>2.4391138352234374</v>
      </c>
      <c r="Q133">
        <f>LN(1+Table1[[#This Row],[L* lab]])</f>
        <v>4.1743802257178668</v>
      </c>
      <c r="R133">
        <f>LN(1+Table1[[#This Row],[a* lab]]+128)</f>
        <v>4.8063998041080902</v>
      </c>
      <c r="S133">
        <f>LN(1+Table1[[#This Row],[b* lab]]+128)</f>
        <v>5.2725128711510125</v>
      </c>
      <c r="T133">
        <f>LN(1+Table1[[#This Row],[Hue]])</f>
        <v>3.9969067906228402</v>
      </c>
      <c r="U133">
        <f>LN(1+Table1[[#This Row],[Saturation]])</f>
        <v>4.553712659675865</v>
      </c>
      <c r="V133">
        <f>LN(1+Table1[[#This Row],[Value]])</f>
        <v>4.2371089076958963</v>
      </c>
    </row>
    <row r="134" spans="1:23" x14ac:dyDescent="0.3">
      <c r="A134">
        <v>1</v>
      </c>
      <c r="B134">
        <v>182.85422220000001</v>
      </c>
      <c r="C134">
        <v>147.42041130000001</v>
      </c>
      <c r="D134">
        <v>13.90973486</v>
      </c>
      <c r="E134">
        <v>62.577369220000001</v>
      </c>
      <c r="F134">
        <v>2.0227535379999999</v>
      </c>
      <c r="G134">
        <v>64.667982870000003</v>
      </c>
      <c r="H134">
        <v>47.415815170000002</v>
      </c>
      <c r="I134">
        <v>92.392992250000006</v>
      </c>
      <c r="J134">
        <v>71.707538130000003</v>
      </c>
      <c r="K134" t="s">
        <v>6</v>
      </c>
      <c r="L134" s="2">
        <v>8.0000000000000002E-3</v>
      </c>
      <c r="M134">
        <v>0</v>
      </c>
      <c r="N134">
        <f>LN(1+Table1[[#This Row],[Redness]])</f>
        <v>5.2141431729445529</v>
      </c>
      <c r="O134">
        <f>LN(1+Table1[[#This Row],[Greeness]])</f>
        <v>5.000048863728014</v>
      </c>
      <c r="P134">
        <f>LN(1+Table1[[#This Row],[Blueness]])</f>
        <v>2.7020143459223558</v>
      </c>
      <c r="Q134">
        <f>LN(1+Table1[[#This Row],[L* lab]])</f>
        <v>4.152257577149391</v>
      </c>
      <c r="R134">
        <f>LN(1+Table1[[#This Row],[a* lab]]+128)</f>
        <v>4.8753709992483643</v>
      </c>
      <c r="S134">
        <f>LN(1+Table1[[#This Row],[b* lab]]+128)</f>
        <v>5.2661452643913442</v>
      </c>
      <c r="T134">
        <f>LN(1+Table1[[#This Row],[Hue]])</f>
        <v>3.8798265200590025</v>
      </c>
      <c r="U134">
        <f>LN(1+Table1[[#This Row],[Saturation]])</f>
        <v>4.5368163129766925</v>
      </c>
      <c r="V134">
        <f>LN(1+Table1[[#This Row],[Value]])</f>
        <v>4.2864450673347907</v>
      </c>
      <c r="W134" t="s">
        <v>26</v>
      </c>
    </row>
    <row r="135" spans="1:23" x14ac:dyDescent="0.3">
      <c r="A135">
        <v>1</v>
      </c>
      <c r="B135">
        <v>181.56642220000001</v>
      </c>
      <c r="C135">
        <v>146.8256031</v>
      </c>
      <c r="D135">
        <v>17.416342920000002</v>
      </c>
      <c r="E135">
        <v>62.30386318</v>
      </c>
      <c r="F135">
        <v>1.86012263</v>
      </c>
      <c r="G135">
        <v>63.487193359999999</v>
      </c>
      <c r="H135">
        <v>47.30156479</v>
      </c>
      <c r="I135">
        <v>90.407729189999998</v>
      </c>
      <c r="J135">
        <v>71.202518519999998</v>
      </c>
      <c r="K135" t="s">
        <v>6</v>
      </c>
      <c r="L135" s="2">
        <v>8.0000000000000002E-3</v>
      </c>
      <c r="M135">
        <v>0</v>
      </c>
      <c r="N135">
        <f>LN(1+Table1[[#This Row],[Redness]])</f>
        <v>5.2071140640664426</v>
      </c>
      <c r="O135">
        <f>LN(1+Table1[[#This Row],[Greeness]])</f>
        <v>4.996033221522687</v>
      </c>
      <c r="P135">
        <f>LN(1+Table1[[#This Row],[Blueness]])</f>
        <v>2.9132384725707152</v>
      </c>
      <c r="Q135">
        <f>LN(1+Table1[[#This Row],[L* lab]])</f>
        <v>4.1479463569877364</v>
      </c>
      <c r="R135">
        <f>LN(1+Table1[[#This Row],[a* lab]]+128)</f>
        <v>4.8741289865495139</v>
      </c>
      <c r="S135">
        <f>LN(1+Table1[[#This Row],[b* lab]]+128)</f>
        <v>5.260029623514753</v>
      </c>
      <c r="T135">
        <f>LN(1+Table1[[#This Row],[Hue]])</f>
        <v>3.877463957442234</v>
      </c>
      <c r="U135">
        <f>LN(1+Table1[[#This Row],[Saturation]])</f>
        <v>4.5153300393267468</v>
      </c>
      <c r="V135">
        <f>LN(1+Table1[[#This Row],[Value]])</f>
        <v>4.2794749278388746</v>
      </c>
      <c r="W135" t="s">
        <v>26</v>
      </c>
    </row>
    <row r="136" spans="1:23" x14ac:dyDescent="0.3">
      <c r="A136">
        <v>1</v>
      </c>
      <c r="B136">
        <v>180.68657777445</v>
      </c>
      <c r="C136">
        <v>142.676234600752</v>
      </c>
      <c r="D136">
        <v>5.4695671542323998</v>
      </c>
      <c r="E136">
        <v>61.0878789877206</v>
      </c>
      <c r="F136">
        <v>3.5123455390541301</v>
      </c>
      <c r="G136">
        <v>64.774582222175098</v>
      </c>
      <c r="H136">
        <v>46.984022941898402</v>
      </c>
      <c r="I136">
        <v>96.972897919921806</v>
      </c>
      <c r="J136">
        <v>70.857481480176801</v>
      </c>
      <c r="K136" t="s">
        <v>6</v>
      </c>
      <c r="L136" s="2">
        <v>8.0000000000000002E-3</v>
      </c>
      <c r="M136">
        <v>0</v>
      </c>
      <c r="N136">
        <f>LN(1+Table1[[#This Row],[Redness]])</f>
        <v>5.2022831024173923</v>
      </c>
      <c r="O136">
        <f>LN(1+Table1[[#This Row],[Greeness]])</f>
        <v>4.9675623973671659</v>
      </c>
      <c r="P136">
        <f>LN(1+Table1[[#This Row],[Blueness]])</f>
        <v>1.8671092058471168</v>
      </c>
      <c r="Q136">
        <f>LN(1+Table1[[#This Row],[L* lab]])</f>
        <v>4.1285507845053662</v>
      </c>
      <c r="R136">
        <f>LN(1+Table1[[#This Row],[a* lab]]+128)</f>
        <v>4.8866758149655141</v>
      </c>
      <c r="S136">
        <f>LN(1+Table1[[#This Row],[b* lab]]+128)</f>
        <v>5.2666955361707988</v>
      </c>
      <c r="T136">
        <f>LN(1+Table1[[#This Row],[Hue]])</f>
        <v>3.8708681001221277</v>
      </c>
      <c r="U136">
        <f>LN(1+Table1[[#This Row],[Saturation]])</f>
        <v>4.584690888585528</v>
      </c>
      <c r="V136">
        <f>LN(1+Table1[[#This Row],[Value]])</f>
        <v>4.2746847334811111</v>
      </c>
    </row>
    <row r="137" spans="1:23" x14ac:dyDescent="0.3">
      <c r="A137">
        <v>1</v>
      </c>
      <c r="B137">
        <v>184.40284439999999</v>
      </c>
      <c r="C137">
        <v>147.28787800000001</v>
      </c>
      <c r="D137">
        <v>15.771471200000001</v>
      </c>
      <c r="E137">
        <v>62.705728610000001</v>
      </c>
      <c r="F137">
        <v>2.8254328449999999</v>
      </c>
      <c r="G137">
        <v>64.498693239999994</v>
      </c>
      <c r="H137">
        <v>46.794284220000002</v>
      </c>
      <c r="I137">
        <v>91.447273359999997</v>
      </c>
      <c r="J137">
        <v>72.314840959999998</v>
      </c>
      <c r="K137" t="s">
        <v>6</v>
      </c>
      <c r="L137" s="2">
        <v>8.0000000000000002E-3</v>
      </c>
      <c r="M137">
        <v>0</v>
      </c>
      <c r="N137">
        <f>LN(1+Table1[[#This Row],[Redness]])</f>
        <v>5.2225309949773902</v>
      </c>
      <c r="O137">
        <f>LN(1+Table1[[#This Row],[Greeness]])</f>
        <v>4.9991555060862236</v>
      </c>
      <c r="P137">
        <f>LN(1+Table1[[#This Row],[Blueness]])</f>
        <v>2.8196793000731017</v>
      </c>
      <c r="Q137">
        <f>LN(1+Table1[[#This Row],[L* lab]])</f>
        <v>4.1542744896177624</v>
      </c>
      <c r="R137">
        <f>LN(1+Table1[[#This Row],[a* lab]]+128)</f>
        <v>4.8814785688930318</v>
      </c>
      <c r="S137">
        <f>LN(1+Table1[[#This Row],[b* lab]]+128)</f>
        <v>5.2652707591653796</v>
      </c>
      <c r="T137">
        <f>LN(1+Table1[[#This Row],[Hue]])</f>
        <v>3.8669060553600647</v>
      </c>
      <c r="U137">
        <f>LN(1+Table1[[#This Row],[Saturation]])</f>
        <v>4.5266384642667807</v>
      </c>
      <c r="V137">
        <f>LN(1+Table1[[#This Row],[Value]])</f>
        <v>4.2947630571570992</v>
      </c>
      <c r="W137" t="s">
        <v>26</v>
      </c>
    </row>
    <row r="138" spans="1:23" x14ac:dyDescent="0.3">
      <c r="A138">
        <v>1</v>
      </c>
      <c r="B138">
        <v>183.55573330000001</v>
      </c>
      <c r="C138">
        <v>146.34987820000001</v>
      </c>
      <c r="D138">
        <v>15.689606360000001</v>
      </c>
      <c r="E138">
        <v>62.370829710000002</v>
      </c>
      <c r="F138">
        <v>2.9522911399999998</v>
      </c>
      <c r="G138">
        <v>64.228692910000007</v>
      </c>
      <c r="H138">
        <v>46.701597599999999</v>
      </c>
      <c r="I138">
        <v>91.452401910000006</v>
      </c>
      <c r="J138">
        <v>71.982640520000004</v>
      </c>
      <c r="K138" t="s">
        <v>6</v>
      </c>
      <c r="L138" s="2">
        <v>8.0000000000000002E-3</v>
      </c>
      <c r="M138">
        <v>0</v>
      </c>
      <c r="N138">
        <f>LN(1+Table1[[#This Row],[Redness]])</f>
        <v>5.2179514953711328</v>
      </c>
      <c r="O138">
        <f>LN(1+Table1[[#This Row],[Greeness]])</f>
        <v>4.9928098825800369</v>
      </c>
      <c r="P138">
        <f>LN(1+Table1[[#This Row],[Blueness]])</f>
        <v>2.8147861520151367</v>
      </c>
      <c r="Q138">
        <f>LN(1+Table1[[#This Row],[L* lab]])</f>
        <v>4.1490036563537043</v>
      </c>
      <c r="R138">
        <f>LN(1+Table1[[#This Row],[a* lab]]+128)</f>
        <v>4.8824404264969568</v>
      </c>
      <c r="S138">
        <f>LN(1+Table1[[#This Row],[b* lab]]+128)</f>
        <v>5.2638744247782165</v>
      </c>
      <c r="T138">
        <f>LN(1+Table1[[#This Row],[Hue]])</f>
        <v>3.8649648899959028</v>
      </c>
      <c r="U138">
        <f>LN(1+Table1[[#This Row],[Saturation]])</f>
        <v>4.5266939381338256</v>
      </c>
      <c r="V138">
        <f>LN(1+Table1[[#This Row],[Value]])</f>
        <v>4.2902216117733367</v>
      </c>
      <c r="W138" t="s">
        <v>26</v>
      </c>
    </row>
    <row r="139" spans="1:23" x14ac:dyDescent="0.3">
      <c r="A139">
        <v>1</v>
      </c>
      <c r="B139">
        <v>181.79057777443001</v>
      </c>
      <c r="C139">
        <v>140.564946186367</v>
      </c>
      <c r="D139">
        <v>4.2957266134127998</v>
      </c>
      <c r="E139">
        <v>60.652241185325501</v>
      </c>
      <c r="F139">
        <v>5.1575568599941297</v>
      </c>
      <c r="G139">
        <v>64.694405173136502</v>
      </c>
      <c r="H139">
        <v>46.0641709936707</v>
      </c>
      <c r="I139">
        <v>97.636991605393803</v>
      </c>
      <c r="J139">
        <v>71.290422656639393</v>
      </c>
      <c r="K139" t="s">
        <v>6</v>
      </c>
      <c r="L139" s="2">
        <v>8.0000000000000002E-3</v>
      </c>
      <c r="M139">
        <v>0</v>
      </c>
      <c r="N139">
        <f>LN(1+Table1[[#This Row],[Redness]])</f>
        <v>5.2083411137880615</v>
      </c>
      <c r="O139">
        <f>LN(1+Table1[[#This Row],[Greeness]])</f>
        <v>4.9527585954317539</v>
      </c>
      <c r="P139">
        <f>LN(1+Table1[[#This Row],[Blueness]])</f>
        <v>1.6669001959678391</v>
      </c>
      <c r="Q139">
        <f>LN(1+Table1[[#This Row],[L* lab]])</f>
        <v>4.1215095823206402</v>
      </c>
      <c r="R139">
        <f>LN(1+Table1[[#This Row],[a* lab]]+128)</f>
        <v>4.8990149067050863</v>
      </c>
      <c r="S139">
        <f>LN(1+Table1[[#This Row],[b* lab]]+128)</f>
        <v>5.2662816860161223</v>
      </c>
      <c r="T139">
        <f>LN(1+Table1[[#This Row],[Hue]])</f>
        <v>3.8515120107714034</v>
      </c>
      <c r="U139">
        <f>LN(1+Table1[[#This Row],[Saturation]])</f>
        <v>4.5914463596622195</v>
      </c>
      <c r="V139">
        <f>LN(1+Table1[[#This Row],[Value]])</f>
        <v>4.2806916536770814</v>
      </c>
    </row>
    <row r="140" spans="1:23" x14ac:dyDescent="0.3">
      <c r="A140">
        <v>1</v>
      </c>
      <c r="B140">
        <v>182.98079999663</v>
      </c>
      <c r="C140">
        <v>141.23410159153201</v>
      </c>
      <c r="D140">
        <v>3.5046331094529002</v>
      </c>
      <c r="E140">
        <v>60.952048660498498</v>
      </c>
      <c r="F140">
        <v>5.3200409526352299</v>
      </c>
      <c r="G140">
        <v>65.088701978246405</v>
      </c>
      <c r="H140">
        <v>46.043818810324503</v>
      </c>
      <c r="I140">
        <v>98.084698990540204</v>
      </c>
      <c r="J140">
        <v>71.757176469266895</v>
      </c>
      <c r="K140" t="s">
        <v>6</v>
      </c>
      <c r="L140" s="2">
        <v>8.0000000000000002E-3</v>
      </c>
      <c r="M140">
        <v>0</v>
      </c>
      <c r="N140">
        <f>LN(1+Table1[[#This Row],[Redness]])</f>
        <v>5.2148314043199679</v>
      </c>
      <c r="O140">
        <f>LN(1+Table1[[#This Row],[Greeness]])</f>
        <v>4.9574743029047328</v>
      </c>
      <c r="P140">
        <f>LN(1+Table1[[#This Row],[Blueness]])</f>
        <v>1.5051064470008495</v>
      </c>
      <c r="Q140">
        <f>LN(1+Table1[[#This Row],[L* lab]])</f>
        <v>4.1263606771086474</v>
      </c>
      <c r="R140">
        <f>LN(1+Table1[[#This Row],[a* lab]]+128)</f>
        <v>4.9002253176578279</v>
      </c>
      <c r="S140">
        <f>LN(1+Table1[[#This Row],[b* lab]]+128)</f>
        <v>5.2683152812590475</v>
      </c>
      <c r="T140">
        <f>LN(1+Table1[[#This Row],[Hue]])</f>
        <v>3.8510794824875481</v>
      </c>
      <c r="U140">
        <f>LN(1+Table1[[#This Row],[Saturation]])</f>
        <v>4.5959750297232587</v>
      </c>
      <c r="V140">
        <f>LN(1+Table1[[#This Row],[Value]])</f>
        <v>4.287127546812104</v>
      </c>
    </row>
    <row r="141" spans="1:23" x14ac:dyDescent="0.3">
      <c r="A141">
        <v>1</v>
      </c>
      <c r="B141">
        <v>183.289244441069</v>
      </c>
      <c r="C141">
        <v>141.556945963419</v>
      </c>
      <c r="D141">
        <v>4.1062197201046597</v>
      </c>
      <c r="E141">
        <v>61.070650060143102</v>
      </c>
      <c r="F141">
        <v>5.2905128623454498</v>
      </c>
      <c r="G141">
        <v>65.095207679292301</v>
      </c>
      <c r="H141">
        <v>46.025808457255799</v>
      </c>
      <c r="I141">
        <v>97.759705031996603</v>
      </c>
      <c r="J141">
        <v>71.878135074929205</v>
      </c>
      <c r="K141" t="s">
        <v>6</v>
      </c>
      <c r="L141" s="2">
        <v>8.0000000000000002E-3</v>
      </c>
      <c r="M141">
        <v>0</v>
      </c>
      <c r="N141">
        <f>LN(1+Table1[[#This Row],[Redness]])</f>
        <v>5.2165065039987031</v>
      </c>
      <c r="O141">
        <f>LN(1+Table1[[#This Row],[Greeness]])</f>
        <v>4.9597415406775038</v>
      </c>
      <c r="P141">
        <f>LN(1+Table1[[#This Row],[Blueness]])</f>
        <v>1.63045934964133</v>
      </c>
      <c r="Q141">
        <f>LN(1+Table1[[#This Row],[L* lab]])</f>
        <v>4.1282732533873636</v>
      </c>
      <c r="R141">
        <f>LN(1+Table1[[#This Row],[a* lab]]+128)</f>
        <v>4.9000054596515854</v>
      </c>
      <c r="S141">
        <f>LN(1+Table1[[#This Row],[b* lab]]+128)</f>
        <v>5.268348799912884</v>
      </c>
      <c r="T141">
        <f>LN(1+Table1[[#This Row],[Hue]])</f>
        <v>3.8506965671128008</v>
      </c>
      <c r="U141">
        <f>LN(1+Table1[[#This Row],[Saturation]])</f>
        <v>4.5926896777572148</v>
      </c>
      <c r="V141">
        <f>LN(1+Table1[[#This Row],[Value]])</f>
        <v>4.2887886636414398</v>
      </c>
    </row>
    <row r="142" spans="1:23" x14ac:dyDescent="0.3">
      <c r="A142">
        <v>1</v>
      </c>
      <c r="B142">
        <v>182.61386666330401</v>
      </c>
      <c r="C142">
        <v>140.630901727099</v>
      </c>
      <c r="D142">
        <v>2.8470477451500602</v>
      </c>
      <c r="E142">
        <v>60.754554459922197</v>
      </c>
      <c r="F142">
        <v>5.4762946821587697</v>
      </c>
      <c r="G142">
        <v>65.030598074880402</v>
      </c>
      <c r="H142">
        <v>45.987525888639396</v>
      </c>
      <c r="I142">
        <v>98.440946573679696</v>
      </c>
      <c r="J142">
        <v>71.613281044432995</v>
      </c>
      <c r="K142" t="s">
        <v>6</v>
      </c>
      <c r="L142" s="2">
        <v>8.0000000000000002E-3</v>
      </c>
      <c r="M142">
        <v>0</v>
      </c>
      <c r="N142">
        <f>LN(1+Table1[[#This Row],[Redness]])</f>
        <v>5.2128350018229925</v>
      </c>
      <c r="O142">
        <f>LN(1+Table1[[#This Row],[Greeness]])</f>
        <v>4.9532243899863735</v>
      </c>
      <c r="P142">
        <f>LN(1+Table1[[#This Row],[Blueness]])</f>
        <v>1.3473060347017358</v>
      </c>
      <c r="Q142">
        <f>LN(1+Table1[[#This Row],[L* lab]])</f>
        <v>4.1231677292242015</v>
      </c>
      <c r="R142">
        <f>LN(1+Table1[[#This Row],[a* lab]]+128)</f>
        <v>4.9013879357921484</v>
      </c>
      <c r="S142">
        <f>LN(1+Table1[[#This Row],[b* lab]]+128)</f>
        <v>5.2680158686619816</v>
      </c>
      <c r="T142">
        <f>LN(1+Table1[[#This Row],[Hue]])</f>
        <v>3.8498821598587938</v>
      </c>
      <c r="U142">
        <f>LN(1+Table1[[#This Row],[Saturation]])</f>
        <v>4.5995639662005905</v>
      </c>
      <c r="V142">
        <f>LN(1+Table1[[#This Row],[Value]])</f>
        <v>4.2851478395965978</v>
      </c>
    </row>
    <row r="143" spans="1:23" x14ac:dyDescent="0.3">
      <c r="A143">
        <v>1</v>
      </c>
      <c r="B143">
        <v>182.36444444108599</v>
      </c>
      <c r="C143">
        <v>140.496857312781</v>
      </c>
      <c r="D143">
        <v>3.3142373470391799</v>
      </c>
      <c r="E143">
        <v>60.693894864527998</v>
      </c>
      <c r="F143">
        <v>5.4428185636546198</v>
      </c>
      <c r="G143">
        <v>64.902708022696203</v>
      </c>
      <c r="H143">
        <v>45.970107108678903</v>
      </c>
      <c r="I143">
        <v>98.182629647354304</v>
      </c>
      <c r="J143">
        <v>71.5154684082692</v>
      </c>
      <c r="K143" t="s">
        <v>6</v>
      </c>
      <c r="L143" s="2">
        <v>8.0000000000000002E-3</v>
      </c>
      <c r="M143">
        <v>0</v>
      </c>
      <c r="N143">
        <f>LN(1+Table1[[#This Row],[Redness]])</f>
        <v>5.2114756721128863</v>
      </c>
      <c r="O143">
        <f>LN(1+Table1[[#This Row],[Greeness]])</f>
        <v>4.9522775070329832</v>
      </c>
      <c r="P143">
        <f>LN(1+Table1[[#This Row],[Blueness]])</f>
        <v>1.4619205643114841</v>
      </c>
      <c r="Q143">
        <f>LN(1+Table1[[#This Row],[L* lab]])</f>
        <v>4.122184977304542</v>
      </c>
      <c r="R143">
        <f>LN(1+Table1[[#This Row],[a* lab]]+128)</f>
        <v>4.901138967853254</v>
      </c>
      <c r="S143">
        <f>LN(1+Table1[[#This Row],[b* lab]]+128)</f>
        <v>5.2673565282299686</v>
      </c>
      <c r="T143">
        <f>LN(1+Table1[[#This Row],[Hue]])</f>
        <v>3.8495113803999166</v>
      </c>
      <c r="U143">
        <f>LN(1+Table1[[#This Row],[Saturation]])</f>
        <v>4.5969628945969205</v>
      </c>
      <c r="V143">
        <f>LN(1+Table1[[#This Row],[Value]])</f>
        <v>4.283799896458623</v>
      </c>
    </row>
    <row r="144" spans="1:23" x14ac:dyDescent="0.3">
      <c r="A144">
        <v>1</v>
      </c>
      <c r="B144">
        <v>182.49262221886201</v>
      </c>
      <c r="C144">
        <v>140.28921291500299</v>
      </c>
      <c r="D144">
        <v>4.1572408067645403</v>
      </c>
      <c r="E144">
        <v>60.655586094018197</v>
      </c>
      <c r="F144">
        <v>5.6258500411710202</v>
      </c>
      <c r="G144">
        <v>64.751983530299995</v>
      </c>
      <c r="H144">
        <v>45.800885173873198</v>
      </c>
      <c r="I144">
        <v>97.721967739726594</v>
      </c>
      <c r="J144">
        <v>71.565734203475301</v>
      </c>
      <c r="K144" t="s">
        <v>6</v>
      </c>
      <c r="L144" s="2">
        <v>8.0000000000000002E-3</v>
      </c>
      <c r="M144">
        <v>0</v>
      </c>
      <c r="N144">
        <f>LN(1+Table1[[#This Row],[Redness]])</f>
        <v>5.2121744607945866</v>
      </c>
      <c r="O144">
        <f>LN(1+Table1[[#This Row],[Greeness]])</f>
        <v>4.95080894505658</v>
      </c>
      <c r="P144">
        <f>LN(1+Table1[[#This Row],[Blueness]])</f>
        <v>1.6404017091045915</v>
      </c>
      <c r="Q144">
        <f>LN(1+Table1[[#This Row],[L* lab]])</f>
        <v>4.1215638353030712</v>
      </c>
      <c r="R144">
        <f>LN(1+Table1[[#This Row],[a* lab]]+128)</f>
        <v>4.9024994495971645</v>
      </c>
      <c r="S144">
        <f>LN(1+Table1[[#This Row],[b* lab]]+128)</f>
        <v>5.2665789057567949</v>
      </c>
      <c r="T144">
        <f>LN(1+Table1[[#This Row],[Hue]])</f>
        <v>3.8459021167163838</v>
      </c>
      <c r="U144">
        <f>LN(1+Table1[[#This Row],[Saturation]])</f>
        <v>4.5923074924921243</v>
      </c>
      <c r="V144">
        <f>LN(1+Table1[[#This Row],[Value]])</f>
        <v>4.2844928297444307</v>
      </c>
    </row>
    <row r="145" spans="1:23" x14ac:dyDescent="0.3">
      <c r="A145">
        <v>1</v>
      </c>
      <c r="B145">
        <v>181.98737777442599</v>
      </c>
      <c r="C145">
        <v>139.893479670609</v>
      </c>
      <c r="D145">
        <v>5.5787202803967597</v>
      </c>
      <c r="E145">
        <v>60.500804468326898</v>
      </c>
      <c r="F145">
        <v>5.6325415786737603</v>
      </c>
      <c r="G145">
        <v>64.399066489082401</v>
      </c>
      <c r="H145">
        <v>45.683050241939</v>
      </c>
      <c r="I145">
        <v>96.934556479344593</v>
      </c>
      <c r="J145">
        <v>71.3675991272262</v>
      </c>
      <c r="K145" t="s">
        <v>6</v>
      </c>
      <c r="L145" s="2">
        <v>8.0000000000000002E-3</v>
      </c>
      <c r="M145">
        <v>0</v>
      </c>
      <c r="N145">
        <f>LN(1+Table1[[#This Row],[Redness]])</f>
        <v>5.2094171765523711</v>
      </c>
      <c r="O145">
        <f>LN(1+Table1[[#This Row],[Greeness]])</f>
        <v>4.9480041415429312</v>
      </c>
      <c r="P145">
        <f>LN(1+Table1[[#This Row],[Blueness]])</f>
        <v>1.8838402401604297</v>
      </c>
      <c r="Q145">
        <f>LN(1+Table1[[#This Row],[L* lab]])</f>
        <v>4.1190502555127226</v>
      </c>
      <c r="R145">
        <f>LN(1+Table1[[#This Row],[a* lab]]+128)</f>
        <v>4.9025491530620329</v>
      </c>
      <c r="S145">
        <f>LN(1+Table1[[#This Row],[b* lab]]+128)</f>
        <v>5.2647557561672258</v>
      </c>
      <c r="T145">
        <f>LN(1+Table1[[#This Row],[Hue]])</f>
        <v>3.8433811489411993</v>
      </c>
      <c r="U145">
        <f>LN(1+Table1[[#This Row],[Saturation]])</f>
        <v>4.5842994645717319</v>
      </c>
      <c r="V145">
        <f>LN(1+Table1[[#This Row],[Value]])</f>
        <v>4.2817586733550419</v>
      </c>
    </row>
    <row r="146" spans="1:23" x14ac:dyDescent="0.3">
      <c r="A146">
        <v>1</v>
      </c>
      <c r="B146">
        <v>182.59057777441501</v>
      </c>
      <c r="C146">
        <v>140.33419068267301</v>
      </c>
      <c r="D146">
        <v>5.5276991937368702</v>
      </c>
      <c r="E146">
        <v>60.680367290903199</v>
      </c>
      <c r="F146">
        <v>5.6635109508027597</v>
      </c>
      <c r="G146">
        <v>64.565515409084099</v>
      </c>
      <c r="H146">
        <v>45.680887796312902</v>
      </c>
      <c r="I146">
        <v>96.972626265213805</v>
      </c>
      <c r="J146">
        <v>71.604148146829701</v>
      </c>
      <c r="K146" t="s">
        <v>6</v>
      </c>
      <c r="L146" s="2">
        <v>8.0000000000000002E-3</v>
      </c>
      <c r="M146">
        <v>0</v>
      </c>
      <c r="N146">
        <f>LN(1+Table1[[#This Row],[Redness]])</f>
        <v>5.2127081575580441</v>
      </c>
      <c r="O146">
        <f>LN(1+Table1[[#This Row],[Greeness]])</f>
        <v>4.9511272326964377</v>
      </c>
      <c r="P146">
        <f>LN(1+Table1[[#This Row],[Blueness]])</f>
        <v>1.87605453720932</v>
      </c>
      <c r="Q146">
        <f>LN(1+Table1[[#This Row],[L* lab]])</f>
        <v>4.1219656840185248</v>
      </c>
      <c r="R146">
        <f>LN(1+Table1[[#This Row],[a* lab]]+128)</f>
        <v>4.9027791554848283</v>
      </c>
      <c r="S146">
        <f>LN(1+Table1[[#This Row],[b* lab]]+128)</f>
        <v>5.2656160360897486</v>
      </c>
      <c r="T146">
        <f>LN(1+Table1[[#This Row],[Hue]])</f>
        <v>3.8433348260102704</v>
      </c>
      <c r="U146">
        <f>LN(1+Table1[[#This Row],[Saturation]])</f>
        <v>4.5846881158280572</v>
      </c>
      <c r="V146">
        <f>LN(1+Table1[[#This Row],[Value]])</f>
        <v>4.2850220572071676</v>
      </c>
    </row>
    <row r="147" spans="1:23" x14ac:dyDescent="0.3">
      <c r="A147">
        <v>1</v>
      </c>
      <c r="B147">
        <v>182.95004444107499</v>
      </c>
      <c r="C147">
        <v>140.790012802451</v>
      </c>
      <c r="D147">
        <v>6.6195860030226497</v>
      </c>
      <c r="E147">
        <v>60.839487953966</v>
      </c>
      <c r="F147">
        <v>5.5900230280525998</v>
      </c>
      <c r="G147">
        <v>64.533097568510499</v>
      </c>
      <c r="H147">
        <v>45.654197688108603</v>
      </c>
      <c r="I147">
        <v>96.381752175438905</v>
      </c>
      <c r="J147">
        <v>71.745115467088496</v>
      </c>
      <c r="K147" t="s">
        <v>6</v>
      </c>
      <c r="L147" s="2">
        <v>8.0000000000000002E-3</v>
      </c>
      <c r="M147">
        <v>0</v>
      </c>
      <c r="N147">
        <f>LN(1+Table1[[#This Row],[Redness]])</f>
        <v>5.2146642231439859</v>
      </c>
      <c r="O147">
        <f>LN(1+Table1[[#This Row],[Greeness]])</f>
        <v>4.9543471800410979</v>
      </c>
      <c r="P147">
        <f>LN(1+Table1[[#This Row],[Blueness]])</f>
        <v>2.0307220379106217</v>
      </c>
      <c r="Q147">
        <f>LN(1+Table1[[#This Row],[L* lab]])</f>
        <v>4.1245421240696913</v>
      </c>
      <c r="R147">
        <f>LN(1+Table1[[#This Row],[a* lab]]+128)</f>
        <v>4.902233291343407</v>
      </c>
      <c r="S147">
        <f>LN(1+Table1[[#This Row],[b* lab]]+128)</f>
        <v>5.2654485447086765</v>
      </c>
      <c r="T147">
        <f>LN(1+Table1[[#This Row],[Hue]])</f>
        <v>3.8427629058412736</v>
      </c>
      <c r="U147">
        <f>LN(1+Table1[[#This Row],[Saturation]])</f>
        <v>4.5786388437682692</v>
      </c>
      <c r="V147">
        <f>LN(1+Table1[[#This Row],[Value]])</f>
        <v>4.2869617624516581</v>
      </c>
    </row>
    <row r="148" spans="1:23" x14ac:dyDescent="0.3">
      <c r="A148">
        <v>1</v>
      </c>
      <c r="B148">
        <v>177.73533333006</v>
      </c>
      <c r="C148">
        <v>135.25636960167</v>
      </c>
      <c r="D148">
        <v>2.6097863591450099</v>
      </c>
      <c r="E148">
        <v>58.823652757422799</v>
      </c>
      <c r="F148">
        <v>6.2185720045507296</v>
      </c>
      <c r="G148">
        <v>63.473735932827601</v>
      </c>
      <c r="H148">
        <v>45.446224906714001</v>
      </c>
      <c r="I148">
        <v>98.531644603102805</v>
      </c>
      <c r="J148">
        <v>69.700130717670802</v>
      </c>
      <c r="K148" t="s">
        <v>6</v>
      </c>
      <c r="L148" s="2">
        <v>8.0000000000000002E-3</v>
      </c>
      <c r="M148">
        <v>0</v>
      </c>
      <c r="N148">
        <f>LN(1+Table1[[#This Row],[Redness]])</f>
        <v>5.1859061269073612</v>
      </c>
      <c r="O148">
        <f>LN(1+Table1[[#This Row],[Greeness]])</f>
        <v>4.9145381818206904</v>
      </c>
      <c r="P148">
        <f>LN(1+Table1[[#This Row],[Blueness]])</f>
        <v>1.2836485903013259</v>
      </c>
      <c r="Q148">
        <f>LN(1+Table1[[#This Row],[L* lab]])</f>
        <v>4.0914011138153779</v>
      </c>
      <c r="R148">
        <f>LN(1+Table1[[#This Row],[a* lab]]+128)</f>
        <v>4.9068925210724599</v>
      </c>
      <c r="S148">
        <f>LN(1+Table1[[#This Row],[b* lab]]+128)</f>
        <v>5.25995970770692</v>
      </c>
      <c r="T148">
        <f>LN(1+Table1[[#This Row],[Hue]])</f>
        <v>3.8382951897657818</v>
      </c>
      <c r="U148">
        <f>LN(1+Table1[[#This Row],[Saturation]])</f>
        <v>4.6004756298138396</v>
      </c>
      <c r="V148">
        <f>LN(1+Table1[[#This Row],[Value]])</f>
        <v>4.2584474218070527</v>
      </c>
    </row>
    <row r="149" spans="1:23" x14ac:dyDescent="0.3">
      <c r="A149">
        <v>1</v>
      </c>
      <c r="B149">
        <v>180.588622218897</v>
      </c>
      <c r="C149">
        <v>137.71570238227801</v>
      </c>
      <c r="D149">
        <v>4.6708293759645798</v>
      </c>
      <c r="E149">
        <v>59.782060169612897</v>
      </c>
      <c r="F149">
        <v>6.1848098868270398</v>
      </c>
      <c r="G149">
        <v>63.957543377594597</v>
      </c>
      <c r="H149">
        <v>45.3774018612555</v>
      </c>
      <c r="I149">
        <v>97.413552792765103</v>
      </c>
      <c r="J149">
        <v>70.819067536822402</v>
      </c>
      <c r="K149" t="s">
        <v>6</v>
      </c>
      <c r="L149" s="2">
        <v>8.0000000000000002E-3</v>
      </c>
      <c r="M149">
        <v>0</v>
      </c>
      <c r="N149">
        <f>LN(1+Table1[[#This Row],[Redness]])</f>
        <v>5.2017438112247714</v>
      </c>
      <c r="O149">
        <f>LN(1+Table1[[#This Row],[Greeness]])</f>
        <v>4.932426532032415</v>
      </c>
      <c r="P149">
        <f>LN(1+Table1[[#This Row],[Blueness]])</f>
        <v>1.7353353814631616</v>
      </c>
      <c r="Q149">
        <f>LN(1+Table1[[#This Row],[L* lab]])</f>
        <v>4.1072946824326815</v>
      </c>
      <c r="R149">
        <f>LN(1+Table1[[#This Row],[a* lab]]+128)</f>
        <v>4.9066428043887189</v>
      </c>
      <c r="S149">
        <f>LN(1+Table1[[#This Row],[b* lab]]+128)</f>
        <v>5.2624701822056767</v>
      </c>
      <c r="T149">
        <f>LN(1+Table1[[#This Row],[Hue]])</f>
        <v>3.8368123117428845</v>
      </c>
      <c r="U149">
        <f>LN(1+Table1[[#This Row],[Saturation]])</f>
        <v>4.5891785262078688</v>
      </c>
      <c r="V149">
        <f>LN(1+Table1[[#This Row],[Value]])</f>
        <v>4.2741500053778463</v>
      </c>
    </row>
    <row r="150" spans="1:23" x14ac:dyDescent="0.3">
      <c r="A150">
        <v>10</v>
      </c>
      <c r="B150">
        <v>184.1159778</v>
      </c>
      <c r="C150">
        <v>142.65065680000001</v>
      </c>
      <c r="D150">
        <v>15.21727798</v>
      </c>
      <c r="E150">
        <v>61.464687820000002</v>
      </c>
      <c r="F150">
        <v>5.2253658869999997</v>
      </c>
      <c r="G150">
        <v>63.634543389999997</v>
      </c>
      <c r="H150">
        <v>45.269754829999997</v>
      </c>
      <c r="I150">
        <v>91.734949810000003</v>
      </c>
      <c r="J150">
        <v>72.202344229999994</v>
      </c>
      <c r="K150" t="s">
        <v>6</v>
      </c>
      <c r="L150" s="1">
        <v>0.08</v>
      </c>
      <c r="M150">
        <v>0</v>
      </c>
      <c r="N150">
        <f>LN(1+Table1[[#This Row],[Redness]])</f>
        <v>5.2209825356812303</v>
      </c>
      <c r="O150">
        <f>LN(1+Table1[[#This Row],[Greeness]])</f>
        <v>4.967384357639002</v>
      </c>
      <c r="P150">
        <f>LN(1+Table1[[#This Row],[Blueness]])</f>
        <v>2.7860772158618325</v>
      </c>
      <c r="Q150">
        <f>LN(1+Table1[[#This Row],[L* lab]])</f>
        <v>4.1346014021926036</v>
      </c>
      <c r="R150">
        <f>LN(1+Table1[[#This Row],[a* lab]]+128)</f>
        <v>4.8995202222278085</v>
      </c>
      <c r="S150">
        <f>LN(1+Table1[[#This Row],[b* lab]]+128)</f>
        <v>5.260794836293619</v>
      </c>
      <c r="T150">
        <f>LN(1+Table1[[#This Row],[Hue]])</f>
        <v>3.8344885042232191</v>
      </c>
      <c r="U150">
        <f>LN(1+Table1[[#This Row],[Saturation]])</f>
        <v>4.5297454221214997</v>
      </c>
      <c r="V150">
        <f>LN(1+Table1[[#This Row],[Value]])</f>
        <v>4.2932274454544768</v>
      </c>
      <c r="W150" t="s">
        <v>26</v>
      </c>
    </row>
    <row r="151" spans="1:23" x14ac:dyDescent="0.3">
      <c r="A151">
        <v>10</v>
      </c>
      <c r="B151">
        <v>185.8211556</v>
      </c>
      <c r="C151">
        <v>143.97738989999999</v>
      </c>
      <c r="D151">
        <v>16.887090820000001</v>
      </c>
      <c r="E151">
        <v>61.994481409999999</v>
      </c>
      <c r="F151">
        <v>5.3026206990000002</v>
      </c>
      <c r="G151">
        <v>63.795006800000003</v>
      </c>
      <c r="H151">
        <v>45.138426959999997</v>
      </c>
      <c r="I151">
        <v>90.912180710000001</v>
      </c>
      <c r="J151">
        <v>72.871041390000002</v>
      </c>
      <c r="K151" t="s">
        <v>6</v>
      </c>
      <c r="L151" s="1">
        <v>0.08</v>
      </c>
      <c r="M151">
        <v>0</v>
      </c>
      <c r="N151">
        <f>LN(1+Table1[[#This Row],[Redness]])</f>
        <v>5.2301517720588011</v>
      </c>
      <c r="O151">
        <f>LN(1+Table1[[#This Row],[Greeness]])</f>
        <v>4.9765777985378215</v>
      </c>
      <c r="P151">
        <f>LN(1+Table1[[#This Row],[Blueness]])</f>
        <v>2.8840792694287547</v>
      </c>
      <c r="Q151">
        <f>LN(1+Table1[[#This Row],[L* lab]])</f>
        <v>4.1430471258880539</v>
      </c>
      <c r="R151">
        <f>LN(1+Table1[[#This Row],[a* lab]]+128)</f>
        <v>4.9000956171064853</v>
      </c>
      <c r="S151">
        <f>LN(1+Table1[[#This Row],[b* lab]]+128)</f>
        <v>5.2616274835008285</v>
      </c>
      <c r="T151">
        <f>LN(1+Table1[[#This Row],[Hue]])</f>
        <v>3.8316461594032742</v>
      </c>
      <c r="U151">
        <f>LN(1+Table1[[#This Row],[Saturation]])</f>
        <v>4.5208335636688979</v>
      </c>
      <c r="V151">
        <f>LN(1+Table1[[#This Row],[Value]])</f>
        <v>4.3023208890451752</v>
      </c>
      <c r="W151" t="s">
        <v>26</v>
      </c>
    </row>
    <row r="152" spans="1:23" x14ac:dyDescent="0.3">
      <c r="A152">
        <v>10</v>
      </c>
      <c r="B152">
        <v>172.09653333016399</v>
      </c>
      <c r="C152">
        <v>128.09650454415501</v>
      </c>
      <c r="D152">
        <v>5.0964199037128903</v>
      </c>
      <c r="E152">
        <v>56.3454281556848</v>
      </c>
      <c r="F152">
        <v>7.6507549772208501</v>
      </c>
      <c r="G152">
        <v>61.0058960448279</v>
      </c>
      <c r="H152">
        <v>44.191617161246697</v>
      </c>
      <c r="I152">
        <v>97.038627213986004</v>
      </c>
      <c r="J152">
        <v>67.488836600064502</v>
      </c>
      <c r="K152" t="s">
        <v>6</v>
      </c>
      <c r="L152" s="2">
        <v>0.08</v>
      </c>
      <c r="M152">
        <v>0</v>
      </c>
      <c r="N152">
        <f>LN(1+Table1[[#This Row],[Redness]])</f>
        <v>5.1538494350039432</v>
      </c>
      <c r="O152">
        <f>LN(1+Table1[[#This Row],[Greeness]])</f>
        <v>4.8605602219179218</v>
      </c>
      <c r="P152">
        <f>LN(1+Table1[[#This Row],[Blueness]])</f>
        <v>1.8077016978547658</v>
      </c>
      <c r="Q152">
        <f>LN(1+Table1[[#This Row],[L* lab]])</f>
        <v>4.0490931221010174</v>
      </c>
      <c r="R152">
        <f>LN(1+Table1[[#This Row],[a* lab]]+128)</f>
        <v>4.9174284372561496</v>
      </c>
      <c r="S152">
        <f>LN(1+Table1[[#This Row],[b* lab]]+128)</f>
        <v>5.247055103493893</v>
      </c>
      <c r="T152">
        <f>LN(1+Table1[[#This Row],[Hue]])</f>
        <v>3.8109116086037962</v>
      </c>
      <c r="U152">
        <f>LN(1+Table1[[#This Row],[Saturation]])</f>
        <v>4.5853615562565544</v>
      </c>
      <c r="V152">
        <f>LN(1+Table1[[#This Row],[Value]])</f>
        <v>4.2266707626451092</v>
      </c>
    </row>
    <row r="153" spans="1:23" x14ac:dyDescent="0.3">
      <c r="A153">
        <v>10</v>
      </c>
      <c r="B153">
        <v>172.08479999683101</v>
      </c>
      <c r="C153">
        <v>128.084771213458</v>
      </c>
      <c r="D153">
        <v>5.0846868315193303</v>
      </c>
      <c r="E153">
        <v>56.340890692369001</v>
      </c>
      <c r="F153">
        <v>7.6517739085640901</v>
      </c>
      <c r="G153">
        <v>61.005368995119497</v>
      </c>
      <c r="H153">
        <v>44.191617137474402</v>
      </c>
      <c r="I153">
        <v>97.045243489481294</v>
      </c>
      <c r="J153">
        <v>67.484235292874999</v>
      </c>
      <c r="K153" t="s">
        <v>6</v>
      </c>
      <c r="L153" s="2">
        <v>0.08</v>
      </c>
      <c r="M153">
        <v>0</v>
      </c>
      <c r="N153">
        <f>LN(1+Table1[[#This Row],[Redness]])</f>
        <v>5.1537816477941325</v>
      </c>
      <c r="O153">
        <f>LN(1+Table1[[#This Row],[Greeness]])</f>
        <v>4.8604693297285433</v>
      </c>
      <c r="P153">
        <f>LN(1+Table1[[#This Row],[Blueness]])</f>
        <v>1.8057752594650196</v>
      </c>
      <c r="Q153">
        <f>LN(1+Table1[[#This Row],[L* lab]])</f>
        <v>4.0490139938603731</v>
      </c>
      <c r="R153">
        <f>LN(1+Table1[[#This Row],[a* lab]]+128)</f>
        <v>4.9174358936916791</v>
      </c>
      <c r="S153">
        <f>LN(1+Table1[[#This Row],[b* lab]]+128)</f>
        <v>5.2470523296302902</v>
      </c>
      <c r="T153">
        <f>LN(1+Table1[[#This Row],[Hue]])</f>
        <v>3.8109116080777627</v>
      </c>
      <c r="U153">
        <f>LN(1+Table1[[#This Row],[Saturation]])</f>
        <v>4.5854290403945823</v>
      </c>
      <c r="V153">
        <f>LN(1+Table1[[#This Row],[Value]])</f>
        <v>4.2266035770716588</v>
      </c>
    </row>
    <row r="154" spans="1:23" x14ac:dyDescent="0.3">
      <c r="A154">
        <v>10</v>
      </c>
      <c r="B154">
        <v>172.053333330165</v>
      </c>
      <c r="C154">
        <v>128.053304553864</v>
      </c>
      <c r="D154">
        <v>5.05322086518205</v>
      </c>
      <c r="E154">
        <v>56.329355064408198</v>
      </c>
      <c r="F154">
        <v>7.6544562715170201</v>
      </c>
      <c r="G154">
        <v>60.998713572063998</v>
      </c>
      <c r="H154">
        <v>44.191617073721297</v>
      </c>
      <c r="I154">
        <v>97.062991592563293</v>
      </c>
      <c r="J154">
        <v>67.471895423594205</v>
      </c>
      <c r="K154" t="s">
        <v>6</v>
      </c>
      <c r="L154" s="2">
        <v>0.08</v>
      </c>
      <c r="M154">
        <v>0</v>
      </c>
      <c r="N154">
        <f>LN(1+Table1[[#This Row],[Redness]])</f>
        <v>5.15359983213314</v>
      </c>
      <c r="O154">
        <f>LN(1+Table1[[#This Row],[Greeness]])</f>
        <v>4.8602255326082897</v>
      </c>
      <c r="P154">
        <f>LN(1+Table1[[#This Row],[Blueness]])</f>
        <v>1.8005905047920254</v>
      </c>
      <c r="Q154">
        <f>LN(1+Table1[[#This Row],[L* lab]])</f>
        <v>4.048812797326371</v>
      </c>
      <c r="R154">
        <f>LN(1+Table1[[#This Row],[a* lab]]+128)</f>
        <v>4.9174555226840457</v>
      </c>
      <c r="S154">
        <f>LN(1+Table1[[#This Row],[b* lab]]+128)</f>
        <v>5.2470173014642176</v>
      </c>
      <c r="T154">
        <f>LN(1+Table1[[#This Row],[Hue]])</f>
        <v>3.8109116066670343</v>
      </c>
      <c r="U154">
        <f>LN(1+Table1[[#This Row],[Saturation]])</f>
        <v>4.5856100435342313</v>
      </c>
      <c r="V154">
        <f>LN(1+Table1[[#This Row],[Value]])</f>
        <v>4.2264233752909917</v>
      </c>
    </row>
    <row r="155" spans="1:23" x14ac:dyDescent="0.3">
      <c r="A155">
        <v>10</v>
      </c>
      <c r="B155">
        <v>172.034488885721</v>
      </c>
      <c r="C155">
        <v>128.034460113655</v>
      </c>
      <c r="D155">
        <v>5.0343768401439002</v>
      </c>
      <c r="E155">
        <v>56.322222111583599</v>
      </c>
      <c r="F155">
        <v>7.6560802346555601</v>
      </c>
      <c r="G155">
        <v>60.996598718702003</v>
      </c>
      <c r="H155">
        <v>44.191617035541398</v>
      </c>
      <c r="I155">
        <v>97.073623508430202</v>
      </c>
      <c r="J155">
        <v>67.464505445380894</v>
      </c>
      <c r="K155" t="s">
        <v>6</v>
      </c>
      <c r="L155" s="2">
        <v>0.08</v>
      </c>
      <c r="M155">
        <v>0</v>
      </c>
      <c r="N155">
        <f>LN(1+Table1[[#This Row],[Redness]])</f>
        <v>5.1534909323495999</v>
      </c>
      <c r="O155">
        <f>LN(1+Table1[[#This Row],[Greeness]])</f>
        <v>4.8600795013520868</v>
      </c>
      <c r="P155">
        <f>LN(1+Table1[[#This Row],[Blueness]])</f>
        <v>1.7974725915782732</v>
      </c>
      <c r="Q155">
        <f>LN(1+Table1[[#This Row],[L* lab]])</f>
        <v>4.0486883689842674</v>
      </c>
      <c r="R155">
        <f>LN(1+Table1[[#This Row],[a* lab]]+128)</f>
        <v>4.917467406332289</v>
      </c>
      <c r="S155">
        <f>LN(1+Table1[[#This Row],[b* lab]]+128)</f>
        <v>5.2470061705197368</v>
      </c>
      <c r="T155">
        <f>LN(1+Table1[[#This Row],[Hue]])</f>
        <v>3.8109116058221897</v>
      </c>
      <c r="U155">
        <f>LN(1+Table1[[#This Row],[Saturation]])</f>
        <v>4.5857184569059202</v>
      </c>
      <c r="V155">
        <f>LN(1+Table1[[#This Row],[Value]])</f>
        <v>4.2263154422918241</v>
      </c>
    </row>
    <row r="156" spans="1:23" x14ac:dyDescent="0.3">
      <c r="A156">
        <v>10</v>
      </c>
      <c r="B156">
        <v>171.84746666350199</v>
      </c>
      <c r="C156">
        <v>127.847437933465</v>
      </c>
      <c r="D156">
        <v>4.8473587803313603</v>
      </c>
      <c r="E156">
        <v>56.252225879826298</v>
      </c>
      <c r="F156">
        <v>7.6721355008809704</v>
      </c>
      <c r="G156">
        <v>60.968970364660102</v>
      </c>
      <c r="H156">
        <v>44.191616656624497</v>
      </c>
      <c r="I156">
        <v>97.1792666633701</v>
      </c>
      <c r="J156">
        <v>67.391163397451905</v>
      </c>
      <c r="K156" t="s">
        <v>6</v>
      </c>
      <c r="L156" s="2">
        <v>0.08</v>
      </c>
      <c r="M156">
        <v>0</v>
      </c>
      <c r="N156">
        <f>LN(1+Table1[[#This Row],[Redness]])</f>
        <v>5.1524095099889076</v>
      </c>
      <c r="O156">
        <f>LN(1+Table1[[#This Row],[Greeness]])</f>
        <v>4.8586290527987428</v>
      </c>
      <c r="P156">
        <f>LN(1+Table1[[#This Row],[Blueness]])</f>
        <v>1.7659900687495744</v>
      </c>
      <c r="Q156">
        <f>LN(1+Table1[[#This Row],[L* lab]])</f>
        <v>4.0474665216755072</v>
      </c>
      <c r="R156">
        <f>LN(1+Table1[[#This Row],[a* lab]]+128)</f>
        <v>4.9175848860897355</v>
      </c>
      <c r="S156">
        <f>LN(1+Table1[[#This Row],[b* lab]]+128)</f>
        <v>5.2468607449531142</v>
      </c>
      <c r="T156">
        <f>LN(1+Table1[[#This Row],[Hue]])</f>
        <v>3.8109115974375172</v>
      </c>
      <c r="U156">
        <f>LN(1+Table1[[#This Row],[Saturation]])</f>
        <v>4.5867950592943121</v>
      </c>
      <c r="V156">
        <f>LN(1+Table1[[#This Row],[Value]])</f>
        <v>4.2252436261870132</v>
      </c>
    </row>
    <row r="157" spans="1:23" x14ac:dyDescent="0.3">
      <c r="A157">
        <v>10</v>
      </c>
      <c r="B157">
        <v>171.65848888572799</v>
      </c>
      <c r="C157">
        <v>127.65846019815901</v>
      </c>
      <c r="D157">
        <v>4.6583852084865596</v>
      </c>
      <c r="E157">
        <v>56.181306620468597</v>
      </c>
      <c r="F157">
        <v>7.6883729363261599</v>
      </c>
      <c r="G157">
        <v>60.942675617926199</v>
      </c>
      <c r="H157">
        <v>44.191616273745502</v>
      </c>
      <c r="I157">
        <v>97.286248271946704</v>
      </c>
      <c r="J157">
        <v>67.317054464991401</v>
      </c>
      <c r="K157" t="s">
        <v>6</v>
      </c>
      <c r="L157" s="2">
        <v>0.08</v>
      </c>
      <c r="M157">
        <v>0</v>
      </c>
      <c r="N157">
        <f>LN(1+Table1[[#This Row],[Redness]])</f>
        <v>5.1513155908041064</v>
      </c>
      <c r="O157">
        <f>LN(1+Table1[[#This Row],[Greeness]])</f>
        <v>4.8571612979193128</v>
      </c>
      <c r="P157">
        <f>LN(1+Table1[[#This Row],[Blueness]])</f>
        <v>1.7331385526556664</v>
      </c>
      <c r="Q157">
        <f>LN(1+Table1[[#This Row],[L* lab]])</f>
        <v>4.0462270376381326</v>
      </c>
      <c r="R157">
        <f>LN(1+Table1[[#This Row],[a* lab]]+128)</f>
        <v>4.9177036847820341</v>
      </c>
      <c r="S157">
        <f>LN(1+Table1[[#This Row],[b* lab]]+128)</f>
        <v>5.2467223193636174</v>
      </c>
      <c r="T157">
        <f>LN(1+Table1[[#This Row],[Hue]])</f>
        <v>3.8109115889651717</v>
      </c>
      <c r="U157">
        <f>LN(1+Table1[[#This Row],[Saturation]])</f>
        <v>4.5878841218627295</v>
      </c>
      <c r="V157">
        <f>LN(1+Table1[[#This Row],[Value]])</f>
        <v>4.2241594347480689</v>
      </c>
    </row>
    <row r="158" spans="1:23" x14ac:dyDescent="0.3">
      <c r="A158">
        <v>10</v>
      </c>
      <c r="B158">
        <v>181.74666666332001</v>
      </c>
      <c r="C158">
        <v>137.74663570865999</v>
      </c>
      <c r="D158">
        <v>4.7465610237593898</v>
      </c>
      <c r="E158">
        <v>59.916966584571902</v>
      </c>
      <c r="F158">
        <v>6.6943476257033296</v>
      </c>
      <c r="G158">
        <v>64.098450383102303</v>
      </c>
      <c r="H158">
        <v>45.0847441715337</v>
      </c>
      <c r="I158">
        <v>97.388364193466998</v>
      </c>
      <c r="J158">
        <v>71.273202613066701</v>
      </c>
      <c r="K158" t="s">
        <v>4</v>
      </c>
      <c r="L158">
        <v>0.27400000000000002</v>
      </c>
      <c r="M158">
        <v>0</v>
      </c>
      <c r="N158">
        <f>LN(1+Table1[[#This Row],[Redness]])</f>
        <v>5.2081008585911457</v>
      </c>
      <c r="O158">
        <f>LN(1+Table1[[#This Row],[Greeness]])</f>
        <v>4.9326495051877846</v>
      </c>
      <c r="P158">
        <f>LN(1+Table1[[#This Row],[Blueness]])</f>
        <v>1.7486015930619287</v>
      </c>
      <c r="Q158">
        <f>LN(1+Table1[[#This Row],[L* lab]])</f>
        <v>4.109511733362603</v>
      </c>
      <c r="R158">
        <f>LN(1+Table1[[#This Row],[a* lab]]+128)</f>
        <v>4.9104049125149549</v>
      </c>
      <c r="S158">
        <f>LN(1+Table1[[#This Row],[b* lab]]+128)</f>
        <v>5.2632001644571744</v>
      </c>
      <c r="T158">
        <f>LN(1+Table1[[#This Row],[Hue]])</f>
        <v>3.8304819661995304</v>
      </c>
      <c r="U158">
        <f>LN(1+Table1[[#This Row],[Saturation]])</f>
        <v>4.5889225469997248</v>
      </c>
      <c r="V158">
        <f>LN(1+Table1[[#This Row],[Value]])</f>
        <v>4.2804534188704757</v>
      </c>
    </row>
    <row r="159" spans="1:23" x14ac:dyDescent="0.3">
      <c r="A159">
        <v>10</v>
      </c>
      <c r="B159">
        <v>181.84746666331799</v>
      </c>
      <c r="C159">
        <v>137.84743568600501</v>
      </c>
      <c r="D159">
        <v>4.8473587803313603</v>
      </c>
      <c r="E159">
        <v>59.954219350950801</v>
      </c>
      <c r="F159">
        <v>6.6858580434493398</v>
      </c>
      <c r="G159">
        <v>64.114757175845796</v>
      </c>
      <c r="H159">
        <v>45.084744352901502</v>
      </c>
      <c r="I159">
        <v>97.334382012972398</v>
      </c>
      <c r="J159">
        <v>71.312732024830694</v>
      </c>
      <c r="K159" t="s">
        <v>4</v>
      </c>
      <c r="L159">
        <v>0.27400000000000002</v>
      </c>
      <c r="M159">
        <v>0</v>
      </c>
      <c r="N159">
        <f>LN(1+Table1[[#This Row],[Redness]])</f>
        <v>5.2086522897732328</v>
      </c>
      <c r="O159">
        <f>LN(1+Table1[[#This Row],[Greeness]])</f>
        <v>4.9333757453503999</v>
      </c>
      <c r="P159">
        <f>LN(1+Table1[[#This Row],[Blueness]])</f>
        <v>1.7659900687495744</v>
      </c>
      <c r="Q159">
        <f>LN(1+Table1[[#This Row],[L* lab]])</f>
        <v>4.1101230799619355</v>
      </c>
      <c r="R159">
        <f>LN(1+Table1[[#This Row],[a* lab]]+128)</f>
        <v>4.9103423465497187</v>
      </c>
      <c r="S159">
        <f>LN(1+Table1[[#This Row],[b* lab]]+128)</f>
        <v>5.2632846089683101</v>
      </c>
      <c r="T159">
        <f>LN(1+Table1[[#This Row],[Hue]])</f>
        <v>3.8304819701350583</v>
      </c>
      <c r="U159">
        <f>LN(1+Table1[[#This Row],[Saturation]])</f>
        <v>4.5883737321535465</v>
      </c>
      <c r="V159">
        <f>LN(1+Table1[[#This Row],[Value]])</f>
        <v>4.2810002135894489</v>
      </c>
    </row>
    <row r="160" spans="1:23" x14ac:dyDescent="0.3">
      <c r="A160">
        <v>10</v>
      </c>
      <c r="B160">
        <v>180.341866663346</v>
      </c>
      <c r="C160">
        <v>136.34183602438301</v>
      </c>
      <c r="D160">
        <v>2.90802416579236</v>
      </c>
      <c r="E160">
        <v>59.395545037397198</v>
      </c>
      <c r="F160">
        <v>6.8071146351824998</v>
      </c>
      <c r="G160">
        <v>63.949881459147001</v>
      </c>
      <c r="H160">
        <v>45.121204606870997</v>
      </c>
      <c r="I160">
        <v>98.387493586710505</v>
      </c>
      <c r="J160">
        <v>70.722300652292503</v>
      </c>
      <c r="K160" t="s">
        <v>4</v>
      </c>
      <c r="L160">
        <v>0.27400000000000002</v>
      </c>
      <c r="M160">
        <v>0</v>
      </c>
      <c r="N160">
        <f>LN(1+Table1[[#This Row],[Redness]])</f>
        <v>5.2003840158858186</v>
      </c>
      <c r="O160">
        <f>LN(1+Table1[[#This Row],[Greeness]])</f>
        <v>4.9224729715638036</v>
      </c>
      <c r="P160">
        <f>LN(1+Table1[[#This Row],[Blueness]])</f>
        <v>1.3630319178339763</v>
      </c>
      <c r="Q160">
        <f>LN(1+Table1[[#This Row],[L* lab]])</f>
        <v>4.1009153445615523</v>
      </c>
      <c r="R160">
        <f>LN(1+Table1[[#This Row],[a* lab]]+128)</f>
        <v>4.9112356042911589</v>
      </c>
      <c r="S160">
        <f>LN(1+Table1[[#This Row],[b* lab]]+128)</f>
        <v>5.2624304736229677</v>
      </c>
      <c r="T160">
        <f>LN(1+Table1[[#This Row],[Hue]])</f>
        <v>3.8312728140292132</v>
      </c>
      <c r="U160">
        <f>LN(1+Table1[[#This Row],[Saturation]])</f>
        <v>4.5990262866994698</v>
      </c>
      <c r="V160">
        <f>LN(1+Table1[[#This Row],[Value]])</f>
        <v>4.2728017264752598</v>
      </c>
    </row>
    <row r="161" spans="1:23" x14ac:dyDescent="0.3">
      <c r="A161">
        <v>10</v>
      </c>
      <c r="B161">
        <v>180.385599996678</v>
      </c>
      <c r="C161">
        <v>136.38556934788701</v>
      </c>
      <c r="D161">
        <v>2.9055353322967599</v>
      </c>
      <c r="E161">
        <v>59.411692498371401</v>
      </c>
      <c r="F161">
        <v>6.8028341562938497</v>
      </c>
      <c r="G161">
        <v>63.963356224447999</v>
      </c>
      <c r="H161">
        <v>45.125079574882101</v>
      </c>
      <c r="I161">
        <v>98.389264258150106</v>
      </c>
      <c r="J161">
        <v>70.739450979089597</v>
      </c>
      <c r="K161" t="s">
        <v>4</v>
      </c>
      <c r="L161">
        <v>0.27400000000000002</v>
      </c>
      <c r="M161">
        <v>0</v>
      </c>
      <c r="N161">
        <f>LN(1+Table1[[#This Row],[Redness]])</f>
        <v>5.2006251519318241</v>
      </c>
      <c r="O161">
        <f>LN(1+Table1[[#This Row],[Greeness]])</f>
        <v>4.922791347692419</v>
      </c>
      <c r="P161">
        <f>LN(1+Table1[[#This Row],[Blueness]])</f>
        <v>1.36239486283225</v>
      </c>
      <c r="Q161">
        <f>LN(1+Table1[[#This Row],[L* lab]])</f>
        <v>4.1011826706158478</v>
      </c>
      <c r="R161">
        <f>LN(1+Table1[[#This Row],[a* lab]]+128)</f>
        <v>4.9112040849826206</v>
      </c>
      <c r="S161">
        <f>LN(1+Table1[[#This Row],[b* lab]]+128)</f>
        <v>5.2625003067563805</v>
      </c>
      <c r="T161">
        <f>LN(1+Table1[[#This Row],[Hue]])</f>
        <v>3.8313568275598993</v>
      </c>
      <c r="U161">
        <f>LN(1+Table1[[#This Row],[Saturation]])</f>
        <v>4.5990441023783131</v>
      </c>
      <c r="V161">
        <f>LN(1+Table1[[#This Row],[Value]])</f>
        <v>4.2730408191488642</v>
      </c>
    </row>
    <row r="162" spans="1:23" x14ac:dyDescent="0.3">
      <c r="A162">
        <v>50</v>
      </c>
      <c r="B162">
        <v>179.72782219999999</v>
      </c>
      <c r="C162">
        <v>114.9405964</v>
      </c>
      <c r="D162">
        <v>11.12579682</v>
      </c>
      <c r="E162">
        <v>53.969229759999997</v>
      </c>
      <c r="F162">
        <v>18.538606949999998</v>
      </c>
      <c r="G162">
        <v>58.639436930000002</v>
      </c>
      <c r="H162">
        <v>36.944324719999997</v>
      </c>
      <c r="I162">
        <v>93.809641330000005</v>
      </c>
      <c r="J162">
        <v>70.481498909999999</v>
      </c>
      <c r="K162" t="s">
        <v>4</v>
      </c>
      <c r="L162">
        <v>1.37</v>
      </c>
      <c r="M162">
        <v>0</v>
      </c>
      <c r="N162">
        <f>LN(1+Table1[[#This Row],[Redness]])</f>
        <v>5.1969921547555789</v>
      </c>
      <c r="O162">
        <f>LN(1+Table1[[#This Row],[Greeness]])</f>
        <v>4.753077959938377</v>
      </c>
      <c r="P162">
        <f>LN(1+Table1[[#This Row],[Blueness]])</f>
        <v>2.4953351517776738</v>
      </c>
      <c r="Q162">
        <f>LN(1+Table1[[#This Row],[L* lab]])</f>
        <v>4.0067735697678506</v>
      </c>
      <c r="R162">
        <f>LN(1+Table1[[#This Row],[a* lab]]+128)</f>
        <v>4.9940898835653025</v>
      </c>
      <c r="S162">
        <f>LN(1+Table1[[#This Row],[b* lab]]+128)</f>
        <v>5.2345222326563521</v>
      </c>
      <c r="T162">
        <f>LN(1+Table1[[#This Row],[Hue]])</f>
        <v>3.6361199464134248</v>
      </c>
      <c r="U162">
        <f>LN(1+Table1[[#This Row],[Saturation]])</f>
        <v>4.551871105882948</v>
      </c>
      <c r="V162">
        <f>LN(1+Table1[[#This Row],[Value]])</f>
        <v>4.2694386597132254</v>
      </c>
      <c r="W162" t="s">
        <v>26</v>
      </c>
    </row>
    <row r="163" spans="1:23" x14ac:dyDescent="0.3">
      <c r="A163">
        <v>50</v>
      </c>
      <c r="B163">
        <v>178.74897780000001</v>
      </c>
      <c r="C163">
        <v>114.2312632</v>
      </c>
      <c r="D163">
        <v>9.1583739420000008</v>
      </c>
      <c r="E163">
        <v>53.667964349999998</v>
      </c>
      <c r="F163">
        <v>18.469656319999999</v>
      </c>
      <c r="G163">
        <v>58.737841029999998</v>
      </c>
      <c r="H163">
        <v>37.17407223</v>
      </c>
      <c r="I163">
        <v>94.876404859999994</v>
      </c>
      <c r="J163">
        <v>70.097638340000003</v>
      </c>
      <c r="K163" t="s">
        <v>4</v>
      </c>
      <c r="L163">
        <v>1.37</v>
      </c>
      <c r="M163">
        <v>0</v>
      </c>
      <c r="N163">
        <f>LN(1+Table1[[#This Row],[Redness]])</f>
        <v>5.1915613097977822</v>
      </c>
      <c r="O163">
        <f>LN(1+Table1[[#This Row],[Greeness]])</f>
        <v>4.7469410933888163</v>
      </c>
      <c r="P163">
        <f>LN(1+Table1[[#This Row],[Blueness]])</f>
        <v>2.3182983842630156</v>
      </c>
      <c r="Q163">
        <f>LN(1+Table1[[#This Row],[L* lab]])</f>
        <v>4.0012778769841004</v>
      </c>
      <c r="R163">
        <f>LN(1+Table1[[#This Row],[a* lab]]+128)</f>
        <v>4.9936224347522344</v>
      </c>
      <c r="S163">
        <f>LN(1+Table1[[#This Row],[b* lab]]+128)</f>
        <v>5.2350465270557835</v>
      </c>
      <c r="T163">
        <f>LN(1+Table1[[#This Row],[Hue]])</f>
        <v>3.642156547731441</v>
      </c>
      <c r="U163">
        <f>LN(1+Table1[[#This Row],[Saturation]])</f>
        <v>4.5630599126178755</v>
      </c>
      <c r="V163">
        <f>LN(1+Table1[[#This Row],[Value]])</f>
        <v>4.2640541202237756</v>
      </c>
      <c r="W163" t="s">
        <v>26</v>
      </c>
    </row>
    <row r="164" spans="1:23" x14ac:dyDescent="0.3">
      <c r="A164">
        <v>50</v>
      </c>
      <c r="B164">
        <v>180.59448889999999</v>
      </c>
      <c r="C164">
        <v>116.59446269999999</v>
      </c>
      <c r="D164">
        <v>10.51461042</v>
      </c>
      <c r="E164">
        <v>54.478544929999998</v>
      </c>
      <c r="F164">
        <v>17.996001060000001</v>
      </c>
      <c r="G164">
        <v>59.172390669999999</v>
      </c>
      <c r="H164">
        <v>37.422364090000002</v>
      </c>
      <c r="I164">
        <v>94.177778910000001</v>
      </c>
      <c r="J164">
        <v>70.821368190000001</v>
      </c>
      <c r="K164" t="s">
        <v>4</v>
      </c>
      <c r="L164">
        <v>1.37</v>
      </c>
      <c r="M164">
        <v>0</v>
      </c>
      <c r="N164">
        <f>LN(1+Table1[[#This Row],[Redness]])</f>
        <v>5.2017761182397386</v>
      </c>
      <c r="O164">
        <f>LN(1+Table1[[#This Row],[Greeness]])</f>
        <v>4.7672419484715975</v>
      </c>
      <c r="P164">
        <f>LN(1+Table1[[#This Row],[Blueness]])</f>
        <v>2.4436167003077887</v>
      </c>
      <c r="Q164">
        <f>LN(1+Table1[[#This Row],[L* lab]])</f>
        <v>4.0159963681740756</v>
      </c>
      <c r="R164">
        <f>LN(1+Table1[[#This Row],[a* lab]]+128)</f>
        <v>4.9904053827352399</v>
      </c>
      <c r="S164">
        <f>LN(1+Table1[[#This Row],[b* lab]]+128)</f>
        <v>5.2373585143172141</v>
      </c>
      <c r="T164">
        <f>LN(1+Table1[[#This Row],[Hue]])</f>
        <v>3.6486396882427647</v>
      </c>
      <c r="U164">
        <f>LN(1+Table1[[#This Row],[Saturation]])</f>
        <v>4.5557464997409189</v>
      </c>
      <c r="V164">
        <f>LN(1+Table1[[#This Row],[Value]])</f>
        <v>4.2741820388810332</v>
      </c>
      <c r="W164" t="s">
        <v>26</v>
      </c>
    </row>
    <row r="165" spans="1:23" x14ac:dyDescent="0.3">
      <c r="A165">
        <v>50</v>
      </c>
      <c r="B165">
        <v>186.20479999657101</v>
      </c>
      <c r="C165">
        <v>132.204770287505</v>
      </c>
      <c r="D165">
        <v>6.3998575601250003E-3</v>
      </c>
      <c r="E165">
        <v>58.997879284750603</v>
      </c>
      <c r="F165">
        <v>11.7101959908955</v>
      </c>
      <c r="G165">
        <v>64.459916242167395</v>
      </c>
      <c r="H165">
        <v>42.599196447847802</v>
      </c>
      <c r="I165">
        <v>99.996563000760304</v>
      </c>
      <c r="J165">
        <v>73.0214901947339</v>
      </c>
      <c r="K165" t="s">
        <v>4</v>
      </c>
      <c r="L165">
        <v>1.37</v>
      </c>
      <c r="M165">
        <v>0</v>
      </c>
      <c r="N165">
        <f>LN(1+Table1[[#This Row],[Redness]])</f>
        <v>5.2322032047220901</v>
      </c>
      <c r="O165">
        <f>LN(1+Table1[[#This Row],[Greeness]])</f>
        <v>4.8918875704342764</v>
      </c>
      <c r="P165">
        <f>LN(1+Table1[[#This Row],[Blueness]])</f>
        <v>6.3794654299719304E-3</v>
      </c>
      <c r="Q165">
        <f>LN(1+Table1[[#This Row],[L* lab]])</f>
        <v>4.0943092163432855</v>
      </c>
      <c r="R165">
        <f>LN(1+Table1[[#This Row],[a* lab]]+128)</f>
        <v>4.9467024276703153</v>
      </c>
      <c r="S165">
        <f>LN(1+Table1[[#This Row],[b* lab]]+128)</f>
        <v>5.2650703398077932</v>
      </c>
      <c r="T165">
        <f>LN(1+Table1[[#This Row],[Hue]])</f>
        <v>3.7750387200899183</v>
      </c>
      <c r="U165">
        <f>LN(1+Table1[[#This Row],[Saturation]])</f>
        <v>4.6150864865667938</v>
      </c>
      <c r="V165">
        <f>LN(1+Table1[[#This Row],[Value]])</f>
        <v>4.3043554590808624</v>
      </c>
    </row>
    <row r="166" spans="1:23" x14ac:dyDescent="0.3">
      <c r="A166">
        <v>50</v>
      </c>
      <c r="B166">
        <v>180.305066663346</v>
      </c>
      <c r="C166">
        <v>129.60903753755201</v>
      </c>
      <c r="D166">
        <v>0.70380655779263801</v>
      </c>
      <c r="E166">
        <v>57.660533808044399</v>
      </c>
      <c r="F166">
        <v>10.4909265819613</v>
      </c>
      <c r="G166">
        <v>63.110611694416903</v>
      </c>
      <c r="H166">
        <v>43.063806201805299</v>
      </c>
      <c r="I166">
        <v>99.609657914324302</v>
      </c>
      <c r="J166">
        <v>70.707869279743804</v>
      </c>
      <c r="K166" t="s">
        <v>4</v>
      </c>
      <c r="L166">
        <v>1.37</v>
      </c>
      <c r="M166">
        <v>0</v>
      </c>
      <c r="N166">
        <f>LN(1+Table1[[#This Row],[Redness]])</f>
        <v>5.20018106366566</v>
      </c>
      <c r="O166">
        <f>LN(1+Table1[[#This Row],[Greeness]])</f>
        <v>4.8722084145825066</v>
      </c>
      <c r="P166">
        <f>LN(1+Table1[[#This Row],[Blueness]])</f>
        <v>0.53286489954080529</v>
      </c>
      <c r="Q166">
        <f>LN(1+Table1[[#This Row],[L* lab]])</f>
        <v>4.0717671635427513</v>
      </c>
      <c r="R166">
        <f>LN(1+Table1[[#This Row],[a* lab]]+128)</f>
        <v>4.9379995567228541</v>
      </c>
      <c r="S166">
        <f>LN(1+Table1[[#This Row],[b* lab]]+128)</f>
        <v>5.2580713087194884</v>
      </c>
      <c r="T166">
        <f>LN(1+Table1[[#This Row],[Hue]])</f>
        <v>3.7856387244293943</v>
      </c>
      <c r="U166">
        <f>LN(1+Table1[[#This Row],[Saturation]])</f>
        <v>4.6112482561821295</v>
      </c>
      <c r="V166">
        <f>LN(1+Table1[[#This Row],[Value]])</f>
        <v>4.2726004944387324</v>
      </c>
    </row>
    <row r="167" spans="1:23" x14ac:dyDescent="0.3">
      <c r="A167">
        <v>50</v>
      </c>
      <c r="B167">
        <v>180.305066663346</v>
      </c>
      <c r="C167">
        <v>129.61632642480299</v>
      </c>
      <c r="D167">
        <v>0.69191793350560005</v>
      </c>
      <c r="E167">
        <v>57.662362007735197</v>
      </c>
      <c r="F167">
        <v>10.4867257825594</v>
      </c>
      <c r="G167">
        <v>63.113864571790202</v>
      </c>
      <c r="H167">
        <v>43.067362073323999</v>
      </c>
      <c r="I167">
        <v>99.616251530636404</v>
      </c>
      <c r="J167">
        <v>70.707869279743804</v>
      </c>
      <c r="K167" t="s">
        <v>4</v>
      </c>
      <c r="L167">
        <v>1.37</v>
      </c>
      <c r="M167">
        <v>0</v>
      </c>
      <c r="N167">
        <f>LN(1+Table1[[#This Row],[Redness]])</f>
        <v>5.20018106366566</v>
      </c>
      <c r="O167">
        <f>LN(1+Table1[[#This Row],[Greeness]])</f>
        <v>4.8722642199387884</v>
      </c>
      <c r="P167">
        <f>LN(1+Table1[[#This Row],[Blueness]])</f>
        <v>0.52586275735147492</v>
      </c>
      <c r="Q167">
        <f>LN(1+Table1[[#This Row],[L* lab]])</f>
        <v>4.071798328809825</v>
      </c>
      <c r="R167">
        <f>LN(1+Table1[[#This Row],[a* lab]]+128)</f>
        <v>4.9379694410532533</v>
      </c>
      <c r="S167">
        <f>LN(1+Table1[[#This Row],[b* lab]]+128)</f>
        <v>5.2580882408910412</v>
      </c>
      <c r="T167">
        <f>LN(1+Table1[[#This Row],[Hue]])</f>
        <v>3.7857194194114361</v>
      </c>
      <c r="U167">
        <f>LN(1+Table1[[#This Row],[Saturation]])</f>
        <v>4.6113137906486665</v>
      </c>
      <c r="V167">
        <f>LN(1+Table1[[#This Row],[Value]])</f>
        <v>4.2726004944387324</v>
      </c>
    </row>
    <row r="168" spans="1:23" x14ac:dyDescent="0.3">
      <c r="A168">
        <v>50</v>
      </c>
      <c r="B168">
        <v>180.71839999667199</v>
      </c>
      <c r="C168">
        <v>130.42894846439199</v>
      </c>
      <c r="D168">
        <v>0.29723782890358402</v>
      </c>
      <c r="E168">
        <v>57.915755355977602</v>
      </c>
      <c r="F168">
        <v>10.217806211927</v>
      </c>
      <c r="G168">
        <v>63.376166720435698</v>
      </c>
      <c r="H168">
        <v>43.2759801805785</v>
      </c>
      <c r="I168">
        <v>99.835524313567902</v>
      </c>
      <c r="J168">
        <v>70.869960783008807</v>
      </c>
      <c r="K168" t="s">
        <v>4</v>
      </c>
      <c r="L168">
        <v>1.37</v>
      </c>
      <c r="M168">
        <v>0</v>
      </c>
      <c r="N168">
        <f>LN(1+Table1[[#This Row],[Redness]])</f>
        <v>5.2024582360795586</v>
      </c>
      <c r="O168">
        <f>LN(1+Table1[[#This Row],[Greeness]])</f>
        <v>4.8784663897344664</v>
      </c>
      <c r="P168">
        <f>LN(1+Table1[[#This Row],[Blueness]])</f>
        <v>0.26023725699281747</v>
      </c>
      <c r="Q168">
        <f>LN(1+Table1[[#This Row],[L* lab]])</f>
        <v>4.0761085481979</v>
      </c>
      <c r="R168">
        <f>LN(1+Table1[[#This Row],[a* lab]]+128)</f>
        <v>4.9360396579086165</v>
      </c>
      <c r="S168">
        <f>LN(1+Table1[[#This Row],[b* lab]]+128)</f>
        <v>5.2594526569642293</v>
      </c>
      <c r="T168">
        <f>LN(1+Table1[[#This Row],[Hue]])</f>
        <v>3.7904423218897625</v>
      </c>
      <c r="U168">
        <f>LN(1+Table1[[#This Row],[Saturation]])</f>
        <v>4.6134907172963198</v>
      </c>
      <c r="V168">
        <f>LN(1+Table1[[#This Row],[Value]])</f>
        <v>4.2748583858145395</v>
      </c>
    </row>
    <row r="169" spans="1:23" x14ac:dyDescent="0.3">
      <c r="A169">
        <v>50</v>
      </c>
      <c r="B169">
        <v>180.71839999667199</v>
      </c>
      <c r="C169">
        <v>130.43677068485599</v>
      </c>
      <c r="D169">
        <v>0.28452700069389097</v>
      </c>
      <c r="E169">
        <v>57.917717435600899</v>
      </c>
      <c r="F169">
        <v>10.2132985026614</v>
      </c>
      <c r="G169">
        <v>63.3796502311993</v>
      </c>
      <c r="H169">
        <v>43.279759456384298</v>
      </c>
      <c r="I169">
        <v>99.842557813316603</v>
      </c>
      <c r="J169">
        <v>70.869960783008807</v>
      </c>
      <c r="K169" t="s">
        <v>4</v>
      </c>
      <c r="L169">
        <v>1.37</v>
      </c>
      <c r="M169">
        <v>0</v>
      </c>
      <c r="N169">
        <f>LN(1+Table1[[#This Row],[Redness]])</f>
        <v>5.2024582360795586</v>
      </c>
      <c r="O169">
        <f>LN(1+Table1[[#This Row],[Greeness]])</f>
        <v>4.8785259046875122</v>
      </c>
      <c r="P169">
        <f>LN(1+Table1[[#This Row],[Blueness]])</f>
        <v>0.25039055773916152</v>
      </c>
      <c r="Q169">
        <f>LN(1+Table1[[#This Row],[L* lab]])</f>
        <v>4.0761418507829292</v>
      </c>
      <c r="R169">
        <f>LN(1+Table1[[#This Row],[a* lab]]+128)</f>
        <v>4.9360072785573896</v>
      </c>
      <c r="S169">
        <f>LN(1+Table1[[#This Row],[b* lab]]+128)</f>
        <v>5.2594707646086638</v>
      </c>
      <c r="T169">
        <f>LN(1+Table1[[#This Row],[Hue]])</f>
        <v>3.7905276754947033</v>
      </c>
      <c r="U169">
        <f>LN(1+Table1[[#This Row],[Saturation]])</f>
        <v>4.6135604670646382</v>
      </c>
      <c r="V169">
        <f>LN(1+Table1[[#This Row],[Value]])</f>
        <v>4.2748583858145395</v>
      </c>
    </row>
    <row r="170" spans="1:23" x14ac:dyDescent="0.3">
      <c r="A170">
        <v>50</v>
      </c>
      <c r="B170">
        <v>166.586666663599</v>
      </c>
      <c r="C170">
        <v>124.58663866631601</v>
      </c>
      <c r="D170">
        <v>3.5865868409867301</v>
      </c>
      <c r="E170">
        <v>54.806676142569799</v>
      </c>
      <c r="F170">
        <v>7.0604266469338102</v>
      </c>
      <c r="G170">
        <v>59.892222404078403</v>
      </c>
      <c r="H170">
        <v>44.5398745658322</v>
      </c>
      <c r="I170">
        <v>97.847014462310199</v>
      </c>
      <c r="J170">
        <v>65.328104573960502</v>
      </c>
      <c r="K170" t="s">
        <v>4</v>
      </c>
      <c r="L170">
        <v>1.37</v>
      </c>
      <c r="M170">
        <v>0</v>
      </c>
      <c r="N170">
        <f>LN(1+Table1[[#This Row],[Redness]])</f>
        <v>5.121500630370222</v>
      </c>
      <c r="O170">
        <f>LN(1+Table1[[#This Row],[Greeness]])</f>
        <v>4.8329958683300855</v>
      </c>
      <c r="P170">
        <f>LN(1+Table1[[#This Row],[Blueness]])</f>
        <v>1.5231361398310017</v>
      </c>
      <c r="Q170">
        <f>LN(1+Table1[[#This Row],[L* lab]])</f>
        <v>4.0218935063625523</v>
      </c>
      <c r="R170">
        <f>LN(1+Table1[[#This Row],[a* lab]]+128)</f>
        <v>4.9130991006383971</v>
      </c>
      <c r="S170">
        <f>LN(1+Table1[[#This Row],[b* lab]]+128)</f>
        <v>5.2411766005739553</v>
      </c>
      <c r="T170">
        <f>LN(1+Table1[[#This Row],[Hue]])</f>
        <v>3.8185883062583308</v>
      </c>
      <c r="U170">
        <f>LN(1+Table1[[#This Row],[Saturation]])</f>
        <v>4.5935733464524748</v>
      </c>
      <c r="V170">
        <f>LN(1+Table1[[#This Row],[Value]])</f>
        <v>4.194613707431305</v>
      </c>
    </row>
    <row r="171" spans="1:23" x14ac:dyDescent="0.3">
      <c r="A171">
        <v>50</v>
      </c>
      <c r="B171">
        <v>167.10133333025601</v>
      </c>
      <c r="C171">
        <v>125.10130521731401</v>
      </c>
      <c r="D171">
        <v>4.1012420531134497</v>
      </c>
      <c r="E171">
        <v>55.0004935389927</v>
      </c>
      <c r="F171">
        <v>7.01663945949731</v>
      </c>
      <c r="G171">
        <v>59.963540239948699</v>
      </c>
      <c r="H171">
        <v>44.539875609689901</v>
      </c>
      <c r="I171">
        <v>97.545655698026096</v>
      </c>
      <c r="J171">
        <v>65.529934639316295</v>
      </c>
      <c r="K171" t="s">
        <v>4</v>
      </c>
      <c r="L171">
        <v>1.37</v>
      </c>
      <c r="M171">
        <v>0</v>
      </c>
      <c r="N171">
        <f>LN(1+Table1[[#This Row],[Redness]])</f>
        <v>5.1245669721514417</v>
      </c>
      <c r="O171">
        <f>LN(1+Table1[[#This Row],[Greeness]])</f>
        <v>4.8370855935700741</v>
      </c>
      <c r="P171">
        <f>LN(1+Table1[[#This Row],[Blueness]])</f>
        <v>1.6294840499054373</v>
      </c>
      <c r="Q171">
        <f>LN(1+Table1[[#This Row],[L* lab]])</f>
        <v>4.0253605038926112</v>
      </c>
      <c r="R171">
        <f>LN(1+Table1[[#This Row],[a* lab]]+128)</f>
        <v>4.9127772272189194</v>
      </c>
      <c r="S171">
        <f>LN(1+Table1[[#This Row],[b* lab]]+128)</f>
        <v>5.2415540876670095</v>
      </c>
      <c r="T171">
        <f>LN(1+Table1[[#This Row],[Hue]])</f>
        <v>3.8185883291801703</v>
      </c>
      <c r="U171">
        <f>LN(1+Table1[[#This Row],[Saturation]])</f>
        <v>4.5905199504152696</v>
      </c>
      <c r="V171">
        <f>LN(1+Table1[[#This Row],[Value]])</f>
        <v>4.1976519913290886</v>
      </c>
    </row>
    <row r="172" spans="1:23" x14ac:dyDescent="0.3">
      <c r="A172">
        <v>50</v>
      </c>
      <c r="B172">
        <v>167.68657777468999</v>
      </c>
      <c r="C172">
        <v>125.686549530227</v>
      </c>
      <c r="D172">
        <v>4.6864734722226604</v>
      </c>
      <c r="E172">
        <v>55.220659486834698</v>
      </c>
      <c r="F172">
        <v>6.9668582577998199</v>
      </c>
      <c r="G172">
        <v>60.046668375511501</v>
      </c>
      <c r="H172">
        <v>44.5398767966946</v>
      </c>
      <c r="I172">
        <v>97.205218488912294</v>
      </c>
      <c r="J172">
        <v>65.759442264584393</v>
      </c>
      <c r="K172" t="s">
        <v>4</v>
      </c>
      <c r="L172">
        <v>1.37</v>
      </c>
      <c r="M172">
        <v>0</v>
      </c>
      <c r="N172">
        <f>LN(1+Table1[[#This Row],[Redness]])</f>
        <v>5.1280424236995668</v>
      </c>
      <c r="O172">
        <f>LN(1+Table1[[#This Row],[Greeness]])</f>
        <v>4.8417159217093007</v>
      </c>
      <c r="P172">
        <f>LN(1+Table1[[#This Row],[Blueness]])</f>
        <v>1.738090279586666</v>
      </c>
      <c r="Q172">
        <f>LN(1+Table1[[#This Row],[L* lab]])</f>
        <v>4.0292842958762281</v>
      </c>
      <c r="R172">
        <f>LN(1+Table1[[#This Row],[a* lab]]+128)</f>
        <v>4.912411166758111</v>
      </c>
      <c r="S172">
        <f>LN(1+Table1[[#This Row],[b* lab]]+128)</f>
        <v>5.2419939072010235</v>
      </c>
      <c r="T172">
        <f>LN(1+Table1[[#This Row],[Hue]])</f>
        <v>3.8185883552453421</v>
      </c>
      <c r="U172">
        <f>LN(1+Table1[[#This Row],[Saturation]])</f>
        <v>4.587059355383416</v>
      </c>
      <c r="V172">
        <f>LN(1+Table1[[#This Row],[Value]])</f>
        <v>4.2010957444235721</v>
      </c>
    </row>
    <row r="173" spans="1:23" x14ac:dyDescent="0.3">
      <c r="A173">
        <v>50</v>
      </c>
      <c r="B173">
        <v>168.002488885795</v>
      </c>
      <c r="C173">
        <v>126.002460570338</v>
      </c>
      <c r="D173">
        <v>5.0023775523432796</v>
      </c>
      <c r="E173">
        <v>55.339399693516398</v>
      </c>
      <c r="F173">
        <v>6.93999220165189</v>
      </c>
      <c r="G173">
        <v>60.092424801766299</v>
      </c>
      <c r="H173">
        <v>44.539877437431997</v>
      </c>
      <c r="I173">
        <v>97.022438426049803</v>
      </c>
      <c r="J173">
        <v>65.883328974821694</v>
      </c>
      <c r="K173" t="s">
        <v>4</v>
      </c>
      <c r="L173">
        <v>1.37</v>
      </c>
      <c r="M173">
        <v>0</v>
      </c>
      <c r="N173">
        <f>LN(1+Table1[[#This Row],[Redness]])</f>
        <v>5.1299134419495118</v>
      </c>
      <c r="O173">
        <f>LN(1+Table1[[#This Row],[Greeness]])</f>
        <v>4.8442064608404971</v>
      </c>
      <c r="P173">
        <f>LN(1+Table1[[#This Row],[Blueness]])</f>
        <v>1.7921556494621809</v>
      </c>
      <c r="Q173">
        <f>LN(1+Table1[[#This Row],[L* lab]])</f>
        <v>4.0313941073243047</v>
      </c>
      <c r="R173">
        <f>LN(1+Table1[[#This Row],[a* lab]]+128)</f>
        <v>4.9122135545523866</v>
      </c>
      <c r="S173">
        <f>LN(1+Table1[[#This Row],[b* lab]]+128)</f>
        <v>5.2422359156434384</v>
      </c>
      <c r="T173">
        <f>LN(1+Table1[[#This Row],[Hue]])</f>
        <v>3.8185883693151514</v>
      </c>
      <c r="U173">
        <f>LN(1+Table1[[#This Row],[Saturation]])</f>
        <v>4.5851964159935434</v>
      </c>
      <c r="V173">
        <f>LN(1+Table1[[#This Row],[Value]])</f>
        <v>4.2029497428789284</v>
      </c>
    </row>
    <row r="174" spans="1:23" x14ac:dyDescent="0.3">
      <c r="A174">
        <v>50</v>
      </c>
      <c r="B174">
        <v>166.77333333026201</v>
      </c>
      <c r="C174">
        <v>125.22663852247901</v>
      </c>
      <c r="D174">
        <v>3.9999109750781399</v>
      </c>
      <c r="E174">
        <v>54.996476656014998</v>
      </c>
      <c r="F174">
        <v>6.7936555169450399</v>
      </c>
      <c r="G174">
        <v>59.961697689692002</v>
      </c>
      <c r="H174">
        <v>44.685450165030602</v>
      </c>
      <c r="I174">
        <v>97.601588398333902</v>
      </c>
      <c r="J174">
        <v>65.401307188338194</v>
      </c>
      <c r="K174" t="s">
        <v>4</v>
      </c>
      <c r="L174">
        <v>1.37</v>
      </c>
      <c r="M174">
        <v>0</v>
      </c>
      <c r="N174">
        <f>LN(1+Table1[[#This Row],[Redness]])</f>
        <v>5.1226138620373511</v>
      </c>
      <c r="O174">
        <f>LN(1+Table1[[#This Row],[Greeness]])</f>
        <v>4.8380790096270889</v>
      </c>
      <c r="P174">
        <f>LN(1+Table1[[#This Row],[Blueness]])</f>
        <v>1.6094201072912178</v>
      </c>
      <c r="Q174">
        <f>LN(1+Table1[[#This Row],[L* lab]])</f>
        <v>4.0252887718989259</v>
      </c>
      <c r="R174">
        <f>LN(1+Table1[[#This Row],[a* lab]]+128)</f>
        <v>4.9111364947176401</v>
      </c>
      <c r="S174">
        <f>LN(1+Table1[[#This Row],[b* lab]]+128)</f>
        <v>5.2415443367952932</v>
      </c>
      <c r="T174">
        <f>LN(1+Table1[[#This Row],[Hue]])</f>
        <v>3.82177987007459</v>
      </c>
      <c r="U174">
        <f>LN(1+Table1[[#This Row],[Saturation]])</f>
        <v>4.5910873709954041</v>
      </c>
      <c r="V174">
        <f>LN(1+Table1[[#This Row],[Value]])</f>
        <v>4.1957167428599682</v>
      </c>
    </row>
    <row r="175" spans="1:23" x14ac:dyDescent="0.3">
      <c r="A175">
        <v>50</v>
      </c>
      <c r="B175">
        <v>166.77333333026201</v>
      </c>
      <c r="C175">
        <v>125.22663852247901</v>
      </c>
      <c r="D175">
        <v>3.9999109750781399</v>
      </c>
      <c r="E175">
        <v>54.996476656014998</v>
      </c>
      <c r="F175">
        <v>6.7936555169450399</v>
      </c>
      <c r="G175">
        <v>59.961697689692002</v>
      </c>
      <c r="H175">
        <v>44.685450165030602</v>
      </c>
      <c r="I175">
        <v>97.601588398333902</v>
      </c>
      <c r="J175">
        <v>65.401307188338194</v>
      </c>
      <c r="K175" t="s">
        <v>4</v>
      </c>
      <c r="L175">
        <v>1.37</v>
      </c>
      <c r="M175">
        <v>0</v>
      </c>
      <c r="N175">
        <f>LN(1+Table1[[#This Row],[Redness]])</f>
        <v>5.1226138620373511</v>
      </c>
      <c r="O175">
        <f>LN(1+Table1[[#This Row],[Greeness]])</f>
        <v>4.8380790096270889</v>
      </c>
      <c r="P175">
        <f>LN(1+Table1[[#This Row],[Blueness]])</f>
        <v>1.6094201072912178</v>
      </c>
      <c r="Q175">
        <f>LN(1+Table1[[#This Row],[L* lab]])</f>
        <v>4.0252887718989259</v>
      </c>
      <c r="R175">
        <f>LN(1+Table1[[#This Row],[a* lab]]+128)</f>
        <v>4.9111364947176401</v>
      </c>
      <c r="S175">
        <f>LN(1+Table1[[#This Row],[b* lab]]+128)</f>
        <v>5.2415443367952932</v>
      </c>
      <c r="T175">
        <f>LN(1+Table1[[#This Row],[Hue]])</f>
        <v>3.82177987007459</v>
      </c>
      <c r="U175">
        <f>LN(1+Table1[[#This Row],[Saturation]])</f>
        <v>4.5910873709954041</v>
      </c>
      <c r="V175">
        <f>LN(1+Table1[[#This Row],[Value]])</f>
        <v>4.1957167428599682</v>
      </c>
    </row>
    <row r="176" spans="1:23" x14ac:dyDescent="0.3">
      <c r="A176">
        <v>50</v>
      </c>
      <c r="B176">
        <v>165.21333333029099</v>
      </c>
      <c r="C176">
        <v>125.213305192142</v>
      </c>
      <c r="D176">
        <v>3.2132618166461002</v>
      </c>
      <c r="E176">
        <v>54.816369937286296</v>
      </c>
      <c r="F176">
        <v>6.0693487370149697</v>
      </c>
      <c r="G176">
        <v>59.895049281422303</v>
      </c>
      <c r="H176">
        <v>45.1851813035356</v>
      </c>
      <c r="I176">
        <v>98.055083235792907</v>
      </c>
      <c r="J176">
        <v>64.789542482467098</v>
      </c>
      <c r="K176" t="s">
        <v>4</v>
      </c>
      <c r="L176">
        <v>1.37</v>
      </c>
      <c r="M176">
        <v>0</v>
      </c>
      <c r="N176">
        <f>LN(1+Table1[[#This Row],[Redness]])</f>
        <v>5.1132721038141815</v>
      </c>
      <c r="O176">
        <f>LN(1+Table1[[#This Row],[Greeness]])</f>
        <v>4.8379733739645774</v>
      </c>
      <c r="P176">
        <f>LN(1+Table1[[#This Row],[Blueness]])</f>
        <v>1.438237126009257</v>
      </c>
      <c r="Q176">
        <f>LN(1+Table1[[#This Row],[L* lab]])</f>
        <v>4.0220671944149986</v>
      </c>
      <c r="R176">
        <f>LN(1+Table1[[#This Row],[a* lab]]+128)</f>
        <v>4.905788340890914</v>
      </c>
      <c r="S176">
        <f>LN(1+Table1[[#This Row],[b* lab]]+128)</f>
        <v>5.2411915660190926</v>
      </c>
      <c r="T176">
        <f>LN(1+Table1[[#This Row],[Hue]])</f>
        <v>3.8326589956303638</v>
      </c>
      <c r="U176">
        <f>LN(1+Table1[[#This Row],[Saturation]])</f>
        <v>4.5956760917246893</v>
      </c>
      <c r="V176">
        <f>LN(1+Table1[[#This Row],[Value]])</f>
        <v>4.1864608968628598</v>
      </c>
    </row>
    <row r="177" spans="1:23" x14ac:dyDescent="0.3">
      <c r="A177">
        <v>50</v>
      </c>
      <c r="B177">
        <v>165.21333333029099</v>
      </c>
      <c r="C177">
        <v>125.213305192142</v>
      </c>
      <c r="D177">
        <v>3.2132618166461002</v>
      </c>
      <c r="E177">
        <v>54.816369937286296</v>
      </c>
      <c r="F177">
        <v>6.0693487370149697</v>
      </c>
      <c r="G177">
        <v>59.895049281422303</v>
      </c>
      <c r="H177">
        <v>45.1851813035356</v>
      </c>
      <c r="I177">
        <v>98.055083235792907</v>
      </c>
      <c r="J177">
        <v>64.789542482467098</v>
      </c>
      <c r="K177" t="s">
        <v>4</v>
      </c>
      <c r="L177">
        <v>1.37</v>
      </c>
      <c r="M177">
        <v>0</v>
      </c>
      <c r="N177">
        <f>LN(1+Table1[[#This Row],[Redness]])</f>
        <v>5.1132721038141815</v>
      </c>
      <c r="O177">
        <f>LN(1+Table1[[#This Row],[Greeness]])</f>
        <v>4.8379733739645774</v>
      </c>
      <c r="P177">
        <f>LN(1+Table1[[#This Row],[Blueness]])</f>
        <v>1.438237126009257</v>
      </c>
      <c r="Q177">
        <f>LN(1+Table1[[#This Row],[L* lab]])</f>
        <v>4.0220671944149986</v>
      </c>
      <c r="R177">
        <f>LN(1+Table1[[#This Row],[a* lab]]+128)</f>
        <v>4.905788340890914</v>
      </c>
      <c r="S177">
        <f>LN(1+Table1[[#This Row],[b* lab]]+128)</f>
        <v>5.2411915660190926</v>
      </c>
      <c r="T177">
        <f>LN(1+Table1[[#This Row],[Hue]])</f>
        <v>3.8326589956303638</v>
      </c>
      <c r="U177">
        <f>LN(1+Table1[[#This Row],[Saturation]])</f>
        <v>4.5956760917246893</v>
      </c>
      <c r="V177">
        <f>LN(1+Table1[[#This Row],[Value]])</f>
        <v>4.1864608968628598</v>
      </c>
    </row>
    <row r="178" spans="1:23" x14ac:dyDescent="0.3">
      <c r="A178">
        <v>100</v>
      </c>
      <c r="B178">
        <v>173.441799996806</v>
      </c>
      <c r="C178">
        <v>101.441777201365</v>
      </c>
      <c r="D178">
        <v>18.332058655063499</v>
      </c>
      <c r="E178">
        <v>49.945449073335602</v>
      </c>
      <c r="F178">
        <v>23.407125058057201</v>
      </c>
      <c r="G178">
        <v>53.437902875293702</v>
      </c>
      <c r="H178">
        <v>32.148742365519801</v>
      </c>
      <c r="I178">
        <v>89.430426428115297</v>
      </c>
      <c r="J178">
        <v>68.016392155610305</v>
      </c>
      <c r="K178" t="s">
        <v>4</v>
      </c>
      <c r="L178">
        <v>2.74</v>
      </c>
      <c r="M178">
        <v>0</v>
      </c>
      <c r="N178">
        <f>LN(1+Table1[[#This Row],[Redness]])</f>
        <v>5.1615911616372534</v>
      </c>
      <c r="O178">
        <f>LN(1+Table1[[#This Row],[Greeness]])</f>
        <v>4.6292946098860792</v>
      </c>
      <c r="P178">
        <f>LN(1+Table1[[#This Row],[Blueness]])</f>
        <v>2.9617647880700773</v>
      </c>
      <c r="Q178">
        <f>LN(1+Table1[[#This Row],[L* lab]])</f>
        <v>3.9307554342531472</v>
      </c>
      <c r="R178">
        <f>LN(1+Table1[[#This Row],[a* lab]]+128)</f>
        <v>5.0265553945091455</v>
      </c>
      <c r="S178">
        <f>LN(1+Table1[[#This Row],[b* lab]]+128)</f>
        <v>5.2064098569040151</v>
      </c>
      <c r="T178">
        <f>LN(1+Table1[[#This Row],[Hue]])</f>
        <v>3.5010047782205089</v>
      </c>
      <c r="U178">
        <f>LN(1+Table1[[#This Row],[Saturation]])</f>
        <v>4.504580786301541</v>
      </c>
      <c r="V178">
        <f>LN(1+Table1[[#This Row],[Value]])</f>
        <v>4.2343440438551889</v>
      </c>
    </row>
    <row r="179" spans="1:23" x14ac:dyDescent="0.3">
      <c r="A179">
        <v>100</v>
      </c>
      <c r="B179">
        <v>175.425799996769</v>
      </c>
      <c r="C179">
        <v>103.391643429807</v>
      </c>
      <c r="D179">
        <v>18.882446405234202</v>
      </c>
      <c r="E179">
        <v>50.675686379966798</v>
      </c>
      <c r="F179">
        <v>23.199793506157398</v>
      </c>
      <c r="G179">
        <v>54.005452746166497</v>
      </c>
      <c r="H179">
        <v>32.390719280901799</v>
      </c>
      <c r="I179">
        <v>89.236220438737007</v>
      </c>
      <c r="J179">
        <v>68.7944313712823</v>
      </c>
      <c r="K179" t="s">
        <v>4</v>
      </c>
      <c r="L179">
        <v>2.74</v>
      </c>
      <c r="M179">
        <v>0</v>
      </c>
      <c r="N179">
        <f>LN(1+Table1[[#This Row],[Redness]])</f>
        <v>5.1729003913630462</v>
      </c>
      <c r="O179">
        <f>LN(1+Table1[[#This Row],[Greeness]])</f>
        <v>4.6481496284690698</v>
      </c>
      <c r="P179">
        <f>LN(1+Table1[[#This Row],[Blueness]])</f>
        <v>2.9898372522707284</v>
      </c>
      <c r="Q179">
        <f>LN(1+Table1[[#This Row],[L* lab]])</f>
        <v>3.9449873881108095</v>
      </c>
      <c r="R179">
        <f>LN(1+Table1[[#This Row],[a* lab]]+128)</f>
        <v>5.0251940886997097</v>
      </c>
      <c r="S179">
        <f>LN(1+Table1[[#This Row],[b* lab]]+128)</f>
        <v>5.2095159488246559</v>
      </c>
      <c r="T179">
        <f>LN(1+Table1[[#This Row],[Hue]])</f>
        <v>3.5082779955295256</v>
      </c>
      <c r="U179">
        <f>LN(1+Table1[[#This Row],[Saturation]])</f>
        <v>4.5024309034366317</v>
      </c>
      <c r="V179">
        <f>LN(1+Table1[[#This Row],[Value]])</f>
        <v>4.2455542268046953</v>
      </c>
    </row>
    <row r="180" spans="1:23" x14ac:dyDescent="0.3">
      <c r="A180">
        <v>100</v>
      </c>
      <c r="B180">
        <v>179.79468888557801</v>
      </c>
      <c r="C180">
        <v>109.382575416702</v>
      </c>
      <c r="D180">
        <v>24.841069341352899</v>
      </c>
      <c r="E180">
        <v>52.6961087203292</v>
      </c>
      <c r="F180">
        <v>21.9322204732857</v>
      </c>
      <c r="G180">
        <v>54.049561429186298</v>
      </c>
      <c r="H180">
        <v>32.735539701757297</v>
      </c>
      <c r="I180">
        <v>86.183646749898202</v>
      </c>
      <c r="J180">
        <v>70.507721131599297</v>
      </c>
      <c r="K180" t="s">
        <v>4</v>
      </c>
      <c r="L180">
        <v>2.74</v>
      </c>
      <c r="M180">
        <v>0</v>
      </c>
      <c r="N180">
        <f>LN(1+Table1[[#This Row],[Redness]])</f>
        <v>5.197362071893739</v>
      </c>
      <c r="O180">
        <f>LN(1+Table1[[#This Row],[Greeness]])</f>
        <v>4.7039522900158603</v>
      </c>
      <c r="P180">
        <f>LN(1+Table1[[#This Row],[Blueness]])</f>
        <v>3.2519650612374327</v>
      </c>
      <c r="Q180">
        <f>LN(1+Table1[[#This Row],[L* lab]])</f>
        <v>3.9833405355806457</v>
      </c>
      <c r="R180">
        <f>LN(1+Table1[[#This Row],[a* lab]]+128)</f>
        <v>5.0168308650043194</v>
      </c>
      <c r="S180">
        <f>LN(1+Table1[[#This Row],[b* lab]]+128)</f>
        <v>5.2097569436561706</v>
      </c>
      <c r="T180">
        <f>LN(1+Table1[[#This Row],[Hue]])</f>
        <v>3.5185518722249407</v>
      </c>
      <c r="U180">
        <f>LN(1+Table1[[#This Row],[Saturation]])</f>
        <v>4.4680167760558112</v>
      </c>
      <c r="V180">
        <f>LN(1+Table1[[#This Row],[Value]])</f>
        <v>4.2698054317242287</v>
      </c>
    </row>
    <row r="181" spans="1:23" x14ac:dyDescent="0.3">
      <c r="A181">
        <v>100</v>
      </c>
      <c r="B181">
        <v>179.120222218924</v>
      </c>
      <c r="C181">
        <v>108.97584217478099</v>
      </c>
      <c r="D181">
        <v>23.5591645390232</v>
      </c>
      <c r="E181">
        <v>52.505423173391797</v>
      </c>
      <c r="F181">
        <v>21.8268015462649</v>
      </c>
      <c r="G181">
        <v>54.284034222593597</v>
      </c>
      <c r="H181">
        <v>32.945267501916902</v>
      </c>
      <c r="I181">
        <v>86.847289352829804</v>
      </c>
      <c r="J181">
        <v>70.243224399578096</v>
      </c>
      <c r="K181" t="s">
        <v>4</v>
      </c>
      <c r="L181">
        <v>2.74</v>
      </c>
      <c r="M181">
        <v>0</v>
      </c>
      <c r="N181">
        <f>LN(1+Table1[[#This Row],[Redness]])</f>
        <v>5.1936245291597025</v>
      </c>
      <c r="O181">
        <f>LN(1+Table1[[#This Row],[Greeness]])</f>
        <v>4.7002607250802608</v>
      </c>
      <c r="P181">
        <f>LN(1+Table1[[#This Row],[Blueness]])</f>
        <v>3.2010850855595967</v>
      </c>
      <c r="Q181">
        <f>LN(1+Table1[[#This Row],[L* lab]])</f>
        <v>3.9797830164915493</v>
      </c>
      <c r="R181">
        <f>LN(1+Table1[[#This Row],[a* lab]]+128)</f>
        <v>5.0161321688685501</v>
      </c>
      <c r="S181">
        <f>LN(1+Table1[[#This Row],[b* lab]]+128)</f>
        <v>5.2110370491567801</v>
      </c>
      <c r="T181">
        <f>LN(1+Table1[[#This Row],[Hue]])</f>
        <v>3.5247494481737869</v>
      </c>
      <c r="U181">
        <f>LN(1+Table1[[#This Row],[Saturation]])</f>
        <v>4.4755999587538788</v>
      </c>
      <c r="V181">
        <f>LN(1+Table1[[#This Row],[Value]])</f>
        <v>4.2660997184805627</v>
      </c>
    </row>
    <row r="182" spans="1:23" x14ac:dyDescent="0.3">
      <c r="A182">
        <v>100</v>
      </c>
      <c r="B182">
        <v>192.10879999646201</v>
      </c>
      <c r="C182">
        <v>124.108772107048</v>
      </c>
      <c r="D182">
        <v>40.379723501787701</v>
      </c>
      <c r="E182">
        <v>57.867629903663598</v>
      </c>
      <c r="F182">
        <v>19.671647721903501</v>
      </c>
      <c r="G182">
        <v>53.5236399317793</v>
      </c>
      <c r="H182">
        <v>33.109955140944699</v>
      </c>
      <c r="I182">
        <v>78.980804886329395</v>
      </c>
      <c r="J182">
        <v>75.336784312338295</v>
      </c>
      <c r="K182" t="s">
        <v>4</v>
      </c>
      <c r="L182">
        <v>2.74</v>
      </c>
      <c r="M182">
        <v>0</v>
      </c>
      <c r="N182">
        <f>LN(1+Table1[[#This Row],[Redness]])</f>
        <v>5.2632537606201257</v>
      </c>
      <c r="O182">
        <f>LN(1+Table1[[#This Row],[Greeness]])</f>
        <v>4.8291835357742965</v>
      </c>
      <c r="P182">
        <f>LN(1+Table1[[#This Row],[Blueness]])</f>
        <v>3.7227909903663079</v>
      </c>
      <c r="Q182">
        <f>LN(1+Table1[[#This Row],[L* lab]])</f>
        <v>4.0752913623972704</v>
      </c>
      <c r="R182">
        <f>LN(1+Table1[[#This Row],[a* lab]]+128)</f>
        <v>5.0017401676465321</v>
      </c>
      <c r="S182">
        <f>LN(1+Table1[[#This Row],[b* lab]]+128)</f>
        <v>5.2068796985065218</v>
      </c>
      <c r="T182">
        <f>LN(1+Table1[[#This Row],[Hue]])</f>
        <v>3.5295892813005398</v>
      </c>
      <c r="U182">
        <f>LN(1+Table1[[#This Row],[Saturation]])</f>
        <v>4.381786666963051</v>
      </c>
      <c r="V182">
        <f>LN(1+Table1[[#This Row],[Value]])</f>
        <v>4.3351549231961615</v>
      </c>
    </row>
    <row r="183" spans="1:23" x14ac:dyDescent="0.3">
      <c r="A183">
        <v>100</v>
      </c>
      <c r="B183">
        <v>191.499377774251</v>
      </c>
      <c r="C183">
        <v>123.499350021791</v>
      </c>
      <c r="D183">
        <v>38.498520926753201</v>
      </c>
      <c r="E183">
        <v>57.633674318713801</v>
      </c>
      <c r="F183">
        <v>19.672212292732201</v>
      </c>
      <c r="G183">
        <v>54.025321676659097</v>
      </c>
      <c r="H183">
        <v>33.333471790852201</v>
      </c>
      <c r="I183">
        <v>79.896268398251905</v>
      </c>
      <c r="J183">
        <v>75.097795205588895</v>
      </c>
      <c r="K183" t="s">
        <v>4</v>
      </c>
      <c r="L183">
        <v>2.74</v>
      </c>
      <c r="M183">
        <v>0</v>
      </c>
      <c r="N183">
        <f>LN(1+Table1[[#This Row],[Redness]])</f>
        <v>5.2600929213810614</v>
      </c>
      <c r="O183">
        <f>LN(1+Table1[[#This Row],[Greeness]])</f>
        <v>4.8243004951826283</v>
      </c>
      <c r="P183">
        <f>LN(1+Table1[[#This Row],[Blueness]])</f>
        <v>3.6762632263136745</v>
      </c>
      <c r="Q183">
        <f>LN(1+Table1[[#This Row],[L* lab]])</f>
        <v>4.0713091786135882</v>
      </c>
      <c r="R183">
        <f>LN(1+Table1[[#This Row],[a* lab]]+128)</f>
        <v>5.0017439650737181</v>
      </c>
      <c r="S183">
        <f>LN(1+Table1[[#This Row],[b* lab]]+128)</f>
        <v>5.20962451308701</v>
      </c>
      <c r="T183">
        <f>LN(1+Table1[[#This Row],[Hue]])</f>
        <v>3.5361207322966628</v>
      </c>
      <c r="U183">
        <f>LN(1+Table1[[#This Row],[Saturation]])</f>
        <v>4.3931676968974145</v>
      </c>
      <c r="V183">
        <f>LN(1+Table1[[#This Row],[Value]])</f>
        <v>4.3320192921166445</v>
      </c>
    </row>
    <row r="184" spans="1:23" x14ac:dyDescent="0.3">
      <c r="A184">
        <v>100</v>
      </c>
      <c r="B184">
        <v>190.72586666315399</v>
      </c>
      <c r="C184">
        <v>124.72583863503201</v>
      </c>
      <c r="D184">
        <v>40.253504088796298</v>
      </c>
      <c r="E184">
        <v>57.843286418476197</v>
      </c>
      <c r="F184">
        <v>18.7250436797076</v>
      </c>
      <c r="G184">
        <v>53.487865318711499</v>
      </c>
      <c r="H184">
        <v>33.682863657235004</v>
      </c>
      <c r="I184">
        <v>78.894575343632297</v>
      </c>
      <c r="J184">
        <v>74.794457514962701</v>
      </c>
      <c r="K184" t="s">
        <v>4</v>
      </c>
      <c r="L184">
        <v>2.74</v>
      </c>
      <c r="M184">
        <v>0</v>
      </c>
      <c r="N184">
        <f>LN(1+Table1[[#This Row],[Redness]])</f>
        <v>5.2560665739857528</v>
      </c>
      <c r="O184">
        <f>LN(1+Table1[[#This Row],[Greeness]])</f>
        <v>4.8341036524277641</v>
      </c>
      <c r="P184">
        <f>LN(1+Table1[[#This Row],[Blueness]])</f>
        <v>3.7197360567800293</v>
      </c>
      <c r="Q184">
        <f>LN(1+Table1[[#This Row],[L* lab]])</f>
        <v>4.0748777476486122</v>
      </c>
      <c r="R184">
        <f>LN(1+Table1[[#This Row],[a* lab]]+128)</f>
        <v>4.995352732914264</v>
      </c>
      <c r="S184">
        <f>LN(1+Table1[[#This Row],[b* lab]]+128)</f>
        <v>5.2066836794075746</v>
      </c>
      <c r="T184">
        <f>LN(1+Table1[[#This Row],[Hue]])</f>
        <v>3.546245722241351</v>
      </c>
      <c r="U184">
        <f>LN(1+Table1[[#This Row],[Saturation]])</f>
        <v>4.3807079573964556</v>
      </c>
      <c r="V184">
        <f>LN(1+Table1[[#This Row],[Value]])</f>
        <v>4.3280251701195658</v>
      </c>
    </row>
    <row r="185" spans="1:23" x14ac:dyDescent="0.3">
      <c r="A185">
        <v>100</v>
      </c>
      <c r="B185">
        <v>189.458844440956</v>
      </c>
      <c r="C185">
        <v>123.458816697568</v>
      </c>
      <c r="D185">
        <v>37.4580107517695</v>
      </c>
      <c r="E185">
        <v>57.363475965816797</v>
      </c>
      <c r="F185">
        <v>18.766376463647202</v>
      </c>
      <c r="G185">
        <v>54.088307956074999</v>
      </c>
      <c r="H185">
        <v>33.9475003623944</v>
      </c>
      <c r="I185">
        <v>80.228945836601895</v>
      </c>
      <c r="J185">
        <v>74.297586055276795</v>
      </c>
      <c r="K185" t="s">
        <v>4</v>
      </c>
      <c r="L185">
        <v>2.74</v>
      </c>
      <c r="M185">
        <v>0</v>
      </c>
      <c r="N185">
        <f>LN(1+Table1[[#This Row],[Redness]])</f>
        <v>5.2494361315468012</v>
      </c>
      <c r="O185">
        <f>LN(1+Table1[[#This Row],[Greeness]])</f>
        <v>4.8239748716040545</v>
      </c>
      <c r="P185">
        <f>LN(1+Table1[[#This Row],[Blueness]])</f>
        <v>3.6495670163000837</v>
      </c>
      <c r="Q185">
        <f>LN(1+Table1[[#This Row],[L* lab]])</f>
        <v>4.0666902826385689</v>
      </c>
      <c r="R185">
        <f>LN(1+Table1[[#This Row],[a* lab]]+128)</f>
        <v>4.9956324891534747</v>
      </c>
      <c r="S185">
        <f>LN(1+Table1[[#This Row],[b* lab]]+128)</f>
        <v>5.2099685935851907</v>
      </c>
      <c r="T185">
        <f>LN(1+Table1[[#This Row],[Hue]])</f>
        <v>3.5538469457328268</v>
      </c>
      <c r="U185">
        <f>LN(1+Table1[[#This Row],[Saturation]])</f>
        <v>4.3972716594654431</v>
      </c>
      <c r="V185">
        <f>LN(1+Table1[[#This Row],[Value]])</f>
        <v>4.3214480765931418</v>
      </c>
    </row>
    <row r="186" spans="1:23" x14ac:dyDescent="0.3">
      <c r="A186">
        <v>100</v>
      </c>
      <c r="B186">
        <v>195.52955555195501</v>
      </c>
      <c r="C186">
        <v>125.238060742134</v>
      </c>
      <c r="D186">
        <v>30.937400323652401</v>
      </c>
      <c r="E186">
        <v>58.510540147850598</v>
      </c>
      <c r="F186">
        <v>20.232104715592602</v>
      </c>
      <c r="G186">
        <v>57.726934692834199</v>
      </c>
      <c r="H186">
        <v>34.376119671443398</v>
      </c>
      <c r="I186">
        <v>84.177634815197095</v>
      </c>
      <c r="J186">
        <v>76.678257079198104</v>
      </c>
      <c r="K186" t="s">
        <v>4</v>
      </c>
      <c r="L186">
        <v>2.74</v>
      </c>
      <c r="M186">
        <v>0</v>
      </c>
      <c r="N186">
        <f>LN(1+Table1[[#This Row],[Redness]])</f>
        <v>5.280812829932489</v>
      </c>
      <c r="O186">
        <f>LN(1+Table1[[#This Row],[Greeness]])</f>
        <v>4.8381694953044612</v>
      </c>
      <c r="P186">
        <f>LN(1+Table1[[#This Row],[Blueness]])</f>
        <v>3.4637777469775233</v>
      </c>
      <c r="Q186">
        <f>LN(1+Table1[[#This Row],[L* lab]])</f>
        <v>4.0861534422052275</v>
      </c>
      <c r="R186">
        <f>LN(1+Table1[[#This Row],[a* lab]]+128)</f>
        <v>5.0055028436808993</v>
      </c>
      <c r="S186">
        <f>LN(1+Table1[[#This Row],[b* lab]]+128)</f>
        <v>5.2296473073774798</v>
      </c>
      <c r="T186">
        <f>LN(1+Table1[[#This Row],[Hue]])</f>
        <v>3.5660370069520697</v>
      </c>
      <c r="U186">
        <f>LN(1+Table1[[#This Row],[Saturation]])</f>
        <v>4.4447388972064967</v>
      </c>
      <c r="V186">
        <f>LN(1+Table1[[#This Row],[Value]])</f>
        <v>4.3525753865428625</v>
      </c>
    </row>
    <row r="187" spans="1:23" x14ac:dyDescent="0.3">
      <c r="A187">
        <v>100</v>
      </c>
      <c r="B187">
        <v>190.79377777426399</v>
      </c>
      <c r="C187">
        <v>120.91570615801101</v>
      </c>
      <c r="D187">
        <v>23.236993931708302</v>
      </c>
      <c r="E187">
        <v>56.8506396743973</v>
      </c>
      <c r="F187">
        <v>20.343034745163301</v>
      </c>
      <c r="G187">
        <v>58.511937691970402</v>
      </c>
      <c r="H187">
        <v>34.9775317905668</v>
      </c>
      <c r="I187">
        <v>87.820884830321305</v>
      </c>
      <c r="J187">
        <v>74.821089323241097</v>
      </c>
      <c r="K187" t="s">
        <v>4</v>
      </c>
      <c r="L187">
        <v>2.74</v>
      </c>
      <c r="M187">
        <v>0</v>
      </c>
      <c r="N187">
        <f>LN(1+Table1[[#This Row],[Redness]])</f>
        <v>5.2564207207044653</v>
      </c>
      <c r="O187">
        <f>LN(1+Table1[[#This Row],[Greeness]])</f>
        <v>4.8033298727978986</v>
      </c>
      <c r="P187">
        <f>LN(1+Table1[[#This Row],[Blueness]])</f>
        <v>3.1878801407925965</v>
      </c>
      <c r="Q187">
        <f>LN(1+Table1[[#This Row],[L* lab]])</f>
        <v>4.0578645110443654</v>
      </c>
      <c r="R187">
        <f>LN(1+Table1[[#This Row],[a* lab]]+128)</f>
        <v>5.0062459064481146</v>
      </c>
      <c r="S187">
        <f>LN(1+Table1[[#This Row],[b* lab]]+128)</f>
        <v>5.2338425110742728</v>
      </c>
      <c r="T187">
        <f>LN(1+Table1[[#This Row],[Hue]])</f>
        <v>3.5828946266853658</v>
      </c>
      <c r="U187">
        <f>LN(1+Table1[[#This Row],[Saturation]])</f>
        <v>4.4866218118760477</v>
      </c>
      <c r="V187">
        <f>LN(1+Table1[[#This Row],[Value]])</f>
        <v>4.3283764772131672</v>
      </c>
    </row>
    <row r="188" spans="1:23" x14ac:dyDescent="0.3">
      <c r="A188">
        <v>100</v>
      </c>
      <c r="B188">
        <v>190.88924444092899</v>
      </c>
      <c r="C188">
        <v>122.46766136477</v>
      </c>
      <c r="D188">
        <v>25.397256962437499</v>
      </c>
      <c r="E188">
        <v>57.2418195122764</v>
      </c>
      <c r="F188">
        <v>19.580664292436602</v>
      </c>
      <c r="G188">
        <v>58.202782640670002</v>
      </c>
      <c r="H188">
        <v>35.193391250418898</v>
      </c>
      <c r="I188">
        <v>86.695291797701699</v>
      </c>
      <c r="J188">
        <v>74.858527231737099</v>
      </c>
      <c r="K188" t="s">
        <v>4</v>
      </c>
      <c r="L188">
        <v>2.74</v>
      </c>
      <c r="M188">
        <v>0</v>
      </c>
      <c r="N188">
        <f>LN(1+Table1[[#This Row],[Redness]])</f>
        <v>5.2569183537145685</v>
      </c>
      <c r="O188">
        <f>LN(1+Table1[[#This Row],[Greeness]])</f>
        <v>4.815979270481586</v>
      </c>
      <c r="P188">
        <f>LN(1+Table1[[#This Row],[Blueness]])</f>
        <v>3.2732601018160126</v>
      </c>
      <c r="Q188">
        <f>LN(1+Table1[[#This Row],[L* lab]])</f>
        <v>4.0646036450260459</v>
      </c>
      <c r="R188">
        <f>LN(1+Table1[[#This Row],[a* lab]]+128)</f>
        <v>5.0011280046548192</v>
      </c>
      <c r="S188">
        <f>LN(1+Table1[[#This Row],[b* lab]]+128)</f>
        <v>5.2321924284665089</v>
      </c>
      <c r="T188">
        <f>LN(1+Table1[[#This Row],[Hue]])</f>
        <v>3.5888765400221043</v>
      </c>
      <c r="U188">
        <f>LN(1+Table1[[#This Row],[Saturation]])</f>
        <v>4.4738682126200588</v>
      </c>
      <c r="V188">
        <f>LN(1+Table1[[#This Row],[Value]])</f>
        <v>4.3288701217793468</v>
      </c>
    </row>
    <row r="189" spans="1:23" x14ac:dyDescent="0.3">
      <c r="A189">
        <v>100</v>
      </c>
      <c r="B189">
        <v>195.19626666307201</v>
      </c>
      <c r="C189">
        <v>127.641571313066</v>
      </c>
      <c r="D189">
        <v>31.152551090656299</v>
      </c>
      <c r="E189">
        <v>59.045169949369601</v>
      </c>
      <c r="F189">
        <v>18.776626800949</v>
      </c>
      <c r="G189">
        <v>58.086876725312997</v>
      </c>
      <c r="H189">
        <v>35.291453824629599</v>
      </c>
      <c r="I189">
        <v>84.040396046903496</v>
      </c>
      <c r="J189">
        <v>76.547555554146101</v>
      </c>
      <c r="K189" t="s">
        <v>4</v>
      </c>
      <c r="L189">
        <v>2.74</v>
      </c>
      <c r="M189">
        <v>0</v>
      </c>
      <c r="N189">
        <f>LN(1+Table1[[#This Row],[Redness]])</f>
        <v>5.2791155187293883</v>
      </c>
      <c r="O189">
        <f>LN(1+Table1[[#This Row],[Greeness]])</f>
        <v>4.8570300201653378</v>
      </c>
      <c r="P189">
        <f>LN(1+Table1[[#This Row],[Blueness]])</f>
        <v>3.4704917971672242</v>
      </c>
      <c r="Q189">
        <f>LN(1+Table1[[#This Row],[L* lab]])</f>
        <v>4.0950971114753596</v>
      </c>
      <c r="R189">
        <f>LN(1+Table1[[#This Row],[a* lab]]+128)</f>
        <v>4.995701855284242</v>
      </c>
      <c r="S189">
        <f>LN(1+Table1[[#This Row],[b* lab]]+128)</f>
        <v>5.2315730903888378</v>
      </c>
      <c r="T189">
        <f>LN(1+Table1[[#This Row],[Hue]])</f>
        <v>3.591582281723996</v>
      </c>
      <c r="U189">
        <f>LN(1+Table1[[#This Row],[Saturation]])</f>
        <v>4.443126391206567</v>
      </c>
      <c r="V189">
        <f>LN(1+Table1[[#This Row],[Value]])</f>
        <v>4.3508913682249943</v>
      </c>
    </row>
    <row r="190" spans="1:23" x14ac:dyDescent="0.3">
      <c r="A190">
        <v>100</v>
      </c>
      <c r="B190">
        <v>178.73208890000001</v>
      </c>
      <c r="C190">
        <v>112.297397</v>
      </c>
      <c r="D190">
        <v>7.9473786730000002</v>
      </c>
      <c r="E190">
        <v>53.196420510000003</v>
      </c>
      <c r="F190">
        <v>19.52280876</v>
      </c>
      <c r="G190">
        <v>58.628896220000001</v>
      </c>
      <c r="H190">
        <v>36.66019687</v>
      </c>
      <c r="I190">
        <v>95.553468480000006</v>
      </c>
      <c r="J190">
        <v>70.091015249999998</v>
      </c>
      <c r="K190" t="s">
        <v>4</v>
      </c>
      <c r="L190" s="3">
        <v>2.74</v>
      </c>
      <c r="M190">
        <v>0</v>
      </c>
      <c r="N190">
        <f>LN(1+Table1[[#This Row],[Redness]])</f>
        <v>5.1914673471300539</v>
      </c>
      <c r="O190">
        <f>LN(1+Table1[[#This Row],[Greeness]])</f>
        <v>4.7300161933658087</v>
      </c>
      <c r="P190">
        <f>LN(1+Table1[[#This Row],[Blueness]])</f>
        <v>2.1913606036890472</v>
      </c>
      <c r="Q190">
        <f>LN(1+Table1[[#This Row],[L* lab]])</f>
        <v>3.9926148640137926</v>
      </c>
      <c r="R190">
        <f>LN(1+Table1[[#This Row],[a* lab]]+128)</f>
        <v>5.0007385407917848</v>
      </c>
      <c r="S190">
        <f>LN(1+Table1[[#This Row],[b* lab]]+128)</f>
        <v>5.2344660557340186</v>
      </c>
      <c r="T190">
        <f>LN(1+Table1[[#This Row],[Hue]])</f>
        <v>3.6286037507777431</v>
      </c>
      <c r="U190">
        <f>LN(1+Table1[[#This Row],[Saturation]])</f>
        <v>4.5700969324136258</v>
      </c>
      <c r="V190">
        <f>LN(1+Table1[[#This Row],[Value]])</f>
        <v>4.2639609610322706</v>
      </c>
      <c r="W190" t="s">
        <v>26</v>
      </c>
    </row>
    <row r="191" spans="1:23" x14ac:dyDescent="0.3">
      <c r="A191">
        <v>100</v>
      </c>
      <c r="B191">
        <v>176.09031110000001</v>
      </c>
      <c r="C191">
        <v>110.8539306</v>
      </c>
      <c r="D191">
        <v>7.1815179410000001</v>
      </c>
      <c r="E191">
        <v>52.50411063</v>
      </c>
      <c r="F191">
        <v>19.140612449999999</v>
      </c>
      <c r="G191">
        <v>58.135964520000002</v>
      </c>
      <c r="H191">
        <v>36.826648540000001</v>
      </c>
      <c r="I191">
        <v>95.92168479</v>
      </c>
      <c r="J191">
        <v>69.05502396</v>
      </c>
      <c r="K191" t="s">
        <v>4</v>
      </c>
      <c r="L191" s="3">
        <v>2.74</v>
      </c>
      <c r="M191">
        <v>0</v>
      </c>
      <c r="N191">
        <f>LN(1+Table1[[#This Row],[Redness]])</f>
        <v>5.1766598346530293</v>
      </c>
      <c r="O191">
        <f>LN(1+Table1[[#This Row],[Greeness]])</f>
        <v>4.7171938290263276</v>
      </c>
      <c r="P191">
        <f>LN(1+Table1[[#This Row],[Blueness]])</f>
        <v>2.1018777007585761</v>
      </c>
      <c r="Q191">
        <f>LN(1+Table1[[#This Row],[L* lab]])</f>
        <v>3.9797584851559717</v>
      </c>
      <c r="R191">
        <f>LN(1+Table1[[#This Row],[a* lab]]+128)</f>
        <v>4.9981619068414815</v>
      </c>
      <c r="S191">
        <f>LN(1+Table1[[#This Row],[b* lab]]+128)</f>
        <v>5.231835435652453</v>
      </c>
      <c r="T191">
        <f>LN(1+Table1[[#This Row],[Hue]])</f>
        <v>3.6330138420690421</v>
      </c>
      <c r="U191">
        <f>LN(1+Table1[[#This Row],[Saturation]])</f>
        <v>4.5739032791030567</v>
      </c>
      <c r="V191">
        <f>LN(1+Table1[[#This Row],[Value]])</f>
        <v>4.2492809898401234</v>
      </c>
      <c r="W191" t="s">
        <v>26</v>
      </c>
    </row>
    <row r="192" spans="1:23" x14ac:dyDescent="0.3">
      <c r="A192">
        <v>100</v>
      </c>
      <c r="B192">
        <v>171.97811110000001</v>
      </c>
      <c r="C192">
        <v>107.644398</v>
      </c>
      <c r="D192">
        <v>4.8133650919999997</v>
      </c>
      <c r="E192">
        <v>51.188419760000002</v>
      </c>
      <c r="F192">
        <v>19.063786790000002</v>
      </c>
      <c r="G192">
        <v>57.458006529999999</v>
      </c>
      <c r="H192">
        <v>36.908870579999999</v>
      </c>
      <c r="I192">
        <v>97.201175739999996</v>
      </c>
      <c r="J192">
        <v>67.442396509999995</v>
      </c>
      <c r="K192" t="s">
        <v>4</v>
      </c>
      <c r="L192" s="3">
        <v>2.74</v>
      </c>
      <c r="M192">
        <v>0</v>
      </c>
      <c r="N192">
        <f>LN(1+Table1[[#This Row],[Redness]])</f>
        <v>5.1531650610592354</v>
      </c>
      <c r="O192">
        <f>LN(1+Table1[[#This Row],[Greeness]])</f>
        <v>4.6880801453179499</v>
      </c>
      <c r="P192">
        <f>LN(1+Table1[[#This Row],[Blueness]])</f>
        <v>1.7601595928711957</v>
      </c>
      <c r="Q192">
        <f>LN(1+Table1[[#This Row],[L* lab]])</f>
        <v>3.9548606265994835</v>
      </c>
      <c r="R192">
        <f>LN(1+Table1[[#This Row],[a* lab]]+128)</f>
        <v>4.9976431727381403</v>
      </c>
      <c r="S192">
        <f>LN(1+Table1[[#This Row],[b* lab]]+128)</f>
        <v>5.2282060476712058</v>
      </c>
      <c r="T192">
        <f>LN(1+Table1[[#This Row],[Hue]])</f>
        <v>3.6351851369451715</v>
      </c>
      <c r="U192">
        <f>LN(1+Table1[[#This Row],[Saturation]])</f>
        <v>4.5870181882011689</v>
      </c>
      <c r="V192">
        <f>LN(1+Table1[[#This Row],[Value]])</f>
        <v>4.2259924646295248</v>
      </c>
      <c r="W192" t="s">
        <v>26</v>
      </c>
    </row>
    <row r="193" spans="1:23" x14ac:dyDescent="0.3">
      <c r="A193">
        <v>100</v>
      </c>
      <c r="B193">
        <v>178.57075560000001</v>
      </c>
      <c r="C193">
        <v>114.44530760000001</v>
      </c>
      <c r="D193">
        <v>6.2920794029999998</v>
      </c>
      <c r="E193">
        <v>53.6905809</v>
      </c>
      <c r="F193">
        <v>18.24158211</v>
      </c>
      <c r="G193">
        <v>59.290587600000002</v>
      </c>
      <c r="H193">
        <v>37.666842099999997</v>
      </c>
      <c r="I193">
        <v>96.476422249999999</v>
      </c>
      <c r="J193">
        <v>70.02774728</v>
      </c>
      <c r="K193" t="s">
        <v>4</v>
      </c>
      <c r="L193" s="3">
        <v>2.74</v>
      </c>
      <c r="M193">
        <v>0</v>
      </c>
      <c r="N193">
        <f>LN(1+Table1[[#This Row],[Redness]])</f>
        <v>5.1905693118747696</v>
      </c>
      <c r="O193">
        <f>LN(1+Table1[[#This Row],[Greeness]])</f>
        <v>4.7487968905396771</v>
      </c>
      <c r="P193">
        <f>LN(1+Table1[[#This Row],[Blueness]])</f>
        <v>1.9867887458136315</v>
      </c>
      <c r="Q193">
        <f>LN(1+Table1[[#This Row],[L* lab]])</f>
        <v>4.0016914989881371</v>
      </c>
      <c r="R193">
        <f>LN(1+Table1[[#This Row],[a* lab]]+128)</f>
        <v>4.9920746535631162</v>
      </c>
      <c r="S193">
        <f>LN(1+Table1[[#This Row],[b* lab]]+128)</f>
        <v>5.2379864482215091</v>
      </c>
      <c r="T193">
        <f>LN(1+Table1[[#This Row],[Hue]])</f>
        <v>3.6549824394969281</v>
      </c>
      <c r="U193">
        <f>LN(1+Table1[[#This Row],[Saturation]])</f>
        <v>4.5796105256829636</v>
      </c>
      <c r="V193">
        <f>LN(1+Table1[[#This Row],[Value]])</f>
        <v>4.2630706074568065</v>
      </c>
      <c r="W193" t="s">
        <v>26</v>
      </c>
    </row>
    <row r="194" spans="1:23" x14ac:dyDescent="0.3">
      <c r="A194">
        <v>200</v>
      </c>
      <c r="B194">
        <v>173.830955552354</v>
      </c>
      <c r="C194">
        <v>99.299733238336799</v>
      </c>
      <c r="D194">
        <v>23.345280410494802</v>
      </c>
      <c r="E194">
        <v>49.522108116896298</v>
      </c>
      <c r="F194">
        <v>24.881682855055999</v>
      </c>
      <c r="G194">
        <v>51.548381687194201</v>
      </c>
      <c r="H194">
        <v>30.283727440332498</v>
      </c>
      <c r="I194">
        <v>86.570124788007803</v>
      </c>
      <c r="J194">
        <v>68.169002177394006</v>
      </c>
      <c r="K194" t="s">
        <v>4</v>
      </c>
      <c r="L194">
        <v>5.48</v>
      </c>
      <c r="M194">
        <v>0</v>
      </c>
      <c r="N194">
        <f>LN(1+Table1[[#This Row],[Redness]])</f>
        <v>5.1638195388032351</v>
      </c>
      <c r="O194">
        <f>LN(1+Table1[[#This Row],[Greeness]])</f>
        <v>4.6081630353266343</v>
      </c>
      <c r="P194">
        <f>LN(1+Table1[[#This Row],[Blueness]])</f>
        <v>3.1923380077648718</v>
      </c>
      <c r="Q194">
        <f>LN(1+Table1[[#This Row],[L* lab]])</f>
        <v>3.9224110249746378</v>
      </c>
      <c r="R194">
        <f>LN(1+Table1[[#This Row],[a* lab]]+128)</f>
        <v>5.0361840139762055</v>
      </c>
      <c r="S194">
        <f>LN(1+Table1[[#This Row],[b* lab]]+128)</f>
        <v>5.1959987844442725</v>
      </c>
      <c r="T194">
        <f>LN(1+Table1[[#This Row],[Hue]])</f>
        <v>3.4430980722711757</v>
      </c>
      <c r="U194">
        <f>LN(1+Table1[[#This Row],[Saturation]])</f>
        <v>4.4724398985417713</v>
      </c>
      <c r="V194">
        <f>LN(1+Table1[[#This Row],[Value]])</f>
        <v>4.2365528168527247</v>
      </c>
    </row>
    <row r="195" spans="1:23" x14ac:dyDescent="0.3">
      <c r="A195">
        <v>200</v>
      </c>
      <c r="B195">
        <v>177.46986666339899</v>
      </c>
      <c r="C195">
        <v>104.205132135868</v>
      </c>
      <c r="D195">
        <v>27.542675879103601</v>
      </c>
      <c r="E195">
        <v>51.180534642794903</v>
      </c>
      <c r="F195">
        <v>23.867085808478301</v>
      </c>
      <c r="G195">
        <v>51.675651382447597</v>
      </c>
      <c r="H195">
        <v>30.6798743533029</v>
      </c>
      <c r="I195">
        <v>84.480364809569096</v>
      </c>
      <c r="J195">
        <v>69.596026142509402</v>
      </c>
      <c r="K195" t="s">
        <v>4</v>
      </c>
      <c r="L195">
        <v>5.48</v>
      </c>
      <c r="M195">
        <v>0</v>
      </c>
      <c r="N195">
        <f>LN(1+Table1[[#This Row],[Redness]])</f>
        <v>5.1844197727583214</v>
      </c>
      <c r="O195">
        <f>LN(1+Table1[[#This Row],[Greeness]])</f>
        <v>4.6559120836751644</v>
      </c>
      <c r="P195">
        <f>LN(1+Table1[[#This Row],[Blueness]])</f>
        <v>3.3514003665570189</v>
      </c>
      <c r="Q195">
        <f>LN(1+Table1[[#This Row],[L* lab]])</f>
        <v>3.9547095257809457</v>
      </c>
      <c r="R195">
        <f>LN(1+Table1[[#This Row],[a* lab]]+128)</f>
        <v>5.0295688236303366</v>
      </c>
      <c r="S195">
        <f>LN(1+Table1[[#This Row],[b* lab]]+128)</f>
        <v>5.1967034424341527</v>
      </c>
      <c r="T195">
        <f>LN(1+Table1[[#This Row],[Hue]])</f>
        <v>3.4556816008178708</v>
      </c>
      <c r="U195">
        <f>LN(1+Table1[[#This Row],[Saturation]])</f>
        <v>4.4482866982187366</v>
      </c>
      <c r="V195">
        <f>LN(1+Table1[[#This Row],[Value]])</f>
        <v>4.2569738559817329</v>
      </c>
    </row>
    <row r="196" spans="1:23" x14ac:dyDescent="0.3">
      <c r="A196">
        <v>200</v>
      </c>
      <c r="B196">
        <v>168.92782221911099</v>
      </c>
      <c r="C196">
        <v>95.770111809382996</v>
      </c>
      <c r="D196">
        <v>16.7411385081814</v>
      </c>
      <c r="E196">
        <v>47.997305406655101</v>
      </c>
      <c r="F196">
        <v>24.537196655968099</v>
      </c>
      <c r="G196">
        <v>52.173892169651502</v>
      </c>
      <c r="H196">
        <v>31.1573804123279</v>
      </c>
      <c r="I196">
        <v>90.089768347059405</v>
      </c>
      <c r="J196">
        <v>66.246204791808495</v>
      </c>
      <c r="K196" t="s">
        <v>4</v>
      </c>
      <c r="L196">
        <v>5.48</v>
      </c>
      <c r="M196">
        <v>0</v>
      </c>
      <c r="N196">
        <f>LN(1+Table1[[#This Row],[Redness]])</f>
        <v>5.1353737717109995</v>
      </c>
      <c r="O196">
        <f>LN(1+Table1[[#This Row],[Greeness]])</f>
        <v>4.5723381843058757</v>
      </c>
      <c r="P196">
        <f>LN(1+Table1[[#This Row],[Blueness]])</f>
        <v>2.8758861522844592</v>
      </c>
      <c r="Q196">
        <f>LN(1+Table1[[#This Row],[L* lab]])</f>
        <v>3.8917653048976111</v>
      </c>
      <c r="R196">
        <f>LN(1+Table1[[#This Row],[a* lab]]+128)</f>
        <v>5.0339428611633057</v>
      </c>
      <c r="S196">
        <f>LN(1+Table1[[#This Row],[b* lab]]+128)</f>
        <v>5.1994573002789908</v>
      </c>
      <c r="T196">
        <f>LN(1+Table1[[#This Row],[Hue]])</f>
        <v>3.4706419861525895</v>
      </c>
      <c r="U196">
        <f>LN(1+Table1[[#This Row],[Saturation]])</f>
        <v>4.5118454856319499</v>
      </c>
      <c r="V196">
        <f>LN(1+Table1[[#This Row],[Value]])</f>
        <v>4.2083605825669217</v>
      </c>
    </row>
    <row r="197" spans="1:23" x14ac:dyDescent="0.3">
      <c r="A197">
        <v>200</v>
      </c>
      <c r="B197">
        <v>176.96824444118599</v>
      </c>
      <c r="C197">
        <v>104.432220973719</v>
      </c>
      <c r="D197">
        <v>23.043464905697501</v>
      </c>
      <c r="E197">
        <v>51.145539529488303</v>
      </c>
      <c r="F197">
        <v>23.396665384045701</v>
      </c>
      <c r="G197">
        <v>53.1854411345372</v>
      </c>
      <c r="H197">
        <v>31.725401061597299</v>
      </c>
      <c r="I197">
        <v>86.978757133257403</v>
      </c>
      <c r="J197">
        <v>69.399311545563094</v>
      </c>
      <c r="K197" t="s">
        <v>4</v>
      </c>
      <c r="L197">
        <v>5.48</v>
      </c>
      <c r="M197">
        <v>0</v>
      </c>
      <c r="N197">
        <f>LN(1+Table1[[#This Row],[Redness]])</f>
        <v>5.1816051323607439</v>
      </c>
      <c r="O197">
        <f>LN(1+Table1[[#This Row],[Greeness]])</f>
        <v>4.6580682912279174</v>
      </c>
      <c r="P197">
        <f>LN(1+Table1[[#This Row],[Blueness]])</f>
        <v>3.1798632301337948</v>
      </c>
      <c r="Q197">
        <f>LN(1+Table1[[#This Row],[L* lab]])</f>
        <v>3.9540386462353134</v>
      </c>
      <c r="R197">
        <f>LN(1+Table1[[#This Row],[a* lab]]+128)</f>
        <v>5.0264867623310456</v>
      </c>
      <c r="S197">
        <f>LN(1+Table1[[#This Row],[b* lab]]+128)</f>
        <v>5.205025075675672</v>
      </c>
      <c r="T197">
        <f>LN(1+Table1[[#This Row],[Hue]])</f>
        <v>3.4881515672318599</v>
      </c>
      <c r="U197">
        <f>LN(1+Table1[[#This Row],[Saturation]])</f>
        <v>4.4770953891244671</v>
      </c>
      <c r="V197">
        <f>LN(1+Table1[[#This Row],[Value]])</f>
        <v>4.2541834839338382</v>
      </c>
    </row>
    <row r="198" spans="1:23" x14ac:dyDescent="0.3">
      <c r="A198">
        <v>200</v>
      </c>
      <c r="B198">
        <v>178.35459999671599</v>
      </c>
      <c r="C198">
        <v>105.423376306517</v>
      </c>
      <c r="D198">
        <v>22.572053175556899</v>
      </c>
      <c r="E198">
        <v>51.563788308425401</v>
      </c>
      <c r="F198">
        <v>23.434815349253</v>
      </c>
      <c r="G198">
        <v>53.775842833765701</v>
      </c>
      <c r="H198">
        <v>31.910374360257901</v>
      </c>
      <c r="I198">
        <v>87.344283143819894</v>
      </c>
      <c r="J198">
        <v>69.942980390868996</v>
      </c>
      <c r="K198" t="s">
        <v>4</v>
      </c>
      <c r="L198">
        <v>5.48</v>
      </c>
      <c r="M198">
        <v>0</v>
      </c>
      <c r="N198">
        <f>LN(1+Table1[[#This Row],[Redness]])</f>
        <v>5.1893648518050339</v>
      </c>
      <c r="O198">
        <f>LN(1+Table1[[#This Row],[Greeness]])</f>
        <v>4.6674252549054849</v>
      </c>
      <c r="P198">
        <f>LN(1+Table1[[#This Row],[Blueness]])</f>
        <v>3.1600618228511514</v>
      </c>
      <c r="Q198">
        <f>LN(1+Table1[[#This Row],[L* lab]])</f>
        <v>3.9620274474622974</v>
      </c>
      <c r="R198">
        <f>LN(1+Table1[[#This Row],[a* lab]]+128)</f>
        <v>5.0267370643360403</v>
      </c>
      <c r="S198">
        <f>LN(1+Table1[[#This Row],[b* lab]]+128)</f>
        <v>5.2082604994873947</v>
      </c>
      <c r="T198">
        <f>LN(1+Table1[[#This Row],[Hue]])</f>
        <v>3.4937879381642638</v>
      </c>
      <c r="U198">
        <f>LN(1+Table1[[#This Row],[Saturation]])</f>
        <v>4.4812414897544075</v>
      </c>
      <c r="V198">
        <f>LN(1+Table1[[#This Row],[Value]])</f>
        <v>4.2618764613029523</v>
      </c>
    </row>
    <row r="199" spans="1:23" x14ac:dyDescent="0.3">
      <c r="A199">
        <v>200</v>
      </c>
      <c r="B199">
        <v>178.813866663374</v>
      </c>
      <c r="C199">
        <v>106.93739818846799</v>
      </c>
      <c r="D199">
        <v>23.514143318826001</v>
      </c>
      <c r="E199">
        <v>51.9830444609428</v>
      </c>
      <c r="F199">
        <v>22.826575112132399</v>
      </c>
      <c r="G199">
        <v>53.820337462964702</v>
      </c>
      <c r="H199">
        <v>32.230548673120197</v>
      </c>
      <c r="I199">
        <v>86.849932973546998</v>
      </c>
      <c r="J199">
        <v>70.123084966029097</v>
      </c>
      <c r="K199" t="s">
        <v>4</v>
      </c>
      <c r="L199">
        <v>5.48</v>
      </c>
      <c r="M199">
        <v>0</v>
      </c>
      <c r="N199">
        <f>LN(1+Table1[[#This Row],[Redness]])</f>
        <v>5.1919222417743613</v>
      </c>
      <c r="O199">
        <f>LN(1+Table1[[#This Row],[Greeness]])</f>
        <v>4.6815514126612223</v>
      </c>
      <c r="P199">
        <f>LN(1+Table1[[#This Row],[Blueness]])</f>
        <v>3.199250229309079</v>
      </c>
      <c r="Q199">
        <f>LN(1+Table1[[#This Row],[L* lab]])</f>
        <v>3.9699719465368677</v>
      </c>
      <c r="R199">
        <f>LN(1+Table1[[#This Row],[a* lab]]+128)</f>
        <v>5.0227389162539957</v>
      </c>
      <c r="S199">
        <f>LN(1+Table1[[#This Row],[b* lab]]+128)</f>
        <v>5.2085039080995008</v>
      </c>
      <c r="T199">
        <f>LN(1+Table1[[#This Row],[Hue]])</f>
        <v>3.5034695936090721</v>
      </c>
      <c r="U199">
        <f>LN(1+Table1[[#This Row],[Saturation]])</f>
        <v>4.4756300516680687</v>
      </c>
      <c r="V199">
        <f>LN(1+Table1[[#This Row],[Value]])</f>
        <v>4.2644119671775682</v>
      </c>
    </row>
    <row r="200" spans="1:23" x14ac:dyDescent="0.3">
      <c r="A200">
        <v>200</v>
      </c>
      <c r="B200">
        <v>164.85204440000001</v>
      </c>
      <c r="C200">
        <v>95.14908973</v>
      </c>
      <c r="D200">
        <v>14.0092882</v>
      </c>
      <c r="E200">
        <v>47.268851869999999</v>
      </c>
      <c r="F200">
        <v>23.04272963</v>
      </c>
      <c r="G200">
        <v>52.096352359999997</v>
      </c>
      <c r="H200">
        <v>32.274589859999999</v>
      </c>
      <c r="I200">
        <v>91.501902060000006</v>
      </c>
      <c r="J200">
        <v>64.647860570000006</v>
      </c>
      <c r="K200" t="s">
        <v>4</v>
      </c>
      <c r="L200" s="3">
        <v>5.48</v>
      </c>
      <c r="M200">
        <v>0</v>
      </c>
      <c r="N200">
        <f>LN(1+Table1[[#This Row],[Redness]])</f>
        <v>5.1110960921184132</v>
      </c>
      <c r="O200">
        <f>LN(1+Table1[[#This Row],[Greeness]])</f>
        <v>4.5659000048032876</v>
      </c>
      <c r="P200">
        <f>LN(1+Table1[[#This Row],[Blueness]])</f>
        <v>2.7086692228020715</v>
      </c>
      <c r="Q200">
        <f>LN(1+Table1[[#This Row],[L* lab]])</f>
        <v>3.876786463808414</v>
      </c>
      <c r="R200">
        <f>LN(1+Table1[[#This Row],[a* lab]]+128)</f>
        <v>5.0241615973274234</v>
      </c>
      <c r="S200">
        <f>LN(1+Table1[[#This Row],[b* lab]]+128)</f>
        <v>5.199029223107285</v>
      </c>
      <c r="T200">
        <f>LN(1+Table1[[#This Row],[Hue]])</f>
        <v>3.5047940384351146</v>
      </c>
      <c r="U200">
        <f>LN(1+Table1[[#This Row],[Saturation]])</f>
        <v>4.5272292071177791</v>
      </c>
      <c r="V200">
        <f>LN(1+Table1[[#This Row],[Value]])</f>
        <v>4.1843050117943337</v>
      </c>
      <c r="W200" t="s">
        <v>26</v>
      </c>
    </row>
    <row r="201" spans="1:23" x14ac:dyDescent="0.3">
      <c r="A201">
        <v>200</v>
      </c>
      <c r="B201">
        <v>165.46171110806401</v>
      </c>
      <c r="C201">
        <v>93.461690105969296</v>
      </c>
      <c r="D201">
        <v>9.4615005290880294</v>
      </c>
      <c r="E201">
        <v>46.947460088215003</v>
      </c>
      <c r="F201">
        <v>24.1747991546595</v>
      </c>
      <c r="G201">
        <v>53.054671334272697</v>
      </c>
      <c r="H201">
        <v>32.307721610807199</v>
      </c>
      <c r="I201">
        <v>94.281758319960403</v>
      </c>
      <c r="J201">
        <v>64.886945532574302</v>
      </c>
      <c r="K201" t="s">
        <v>4</v>
      </c>
      <c r="L201">
        <v>5.48</v>
      </c>
      <c r="M201">
        <v>0</v>
      </c>
      <c r="N201">
        <f>LN(1+Table1[[#This Row],[Redness]])</f>
        <v>5.1147653196599503</v>
      </c>
      <c r="O201">
        <f>LN(1+Table1[[#This Row],[Greeness]])</f>
        <v>4.5481943566006153</v>
      </c>
      <c r="P201">
        <f>LN(1+Table1[[#This Row],[Blueness]])</f>
        <v>2.3477019023719445</v>
      </c>
      <c r="Q201">
        <f>LN(1+Table1[[#This Row],[L* lab]])</f>
        <v>3.8701058299205431</v>
      </c>
      <c r="R201">
        <f>LN(1+Table1[[#This Row],[a* lab]]+128)</f>
        <v>5.0315797473959707</v>
      </c>
      <c r="S201">
        <f>LN(1+Table1[[#This Row],[b* lab]]+128)</f>
        <v>5.2043070339147208</v>
      </c>
      <c r="T201">
        <f>LN(1+Table1[[#This Row],[Hue]])</f>
        <v>3.5057892503107593</v>
      </c>
      <c r="U201">
        <f>LN(1+Table1[[#This Row],[Saturation]])</f>
        <v>4.5568383791164857</v>
      </c>
      <c r="V201">
        <f>LN(1+Table1[[#This Row],[Value]])</f>
        <v>4.1879403267799402</v>
      </c>
    </row>
    <row r="202" spans="1:23" x14ac:dyDescent="0.3">
      <c r="A202">
        <v>200</v>
      </c>
      <c r="B202">
        <v>171.84995555239101</v>
      </c>
      <c r="C202">
        <v>99.849933114681605</v>
      </c>
      <c r="D202">
        <v>15.849602795291799</v>
      </c>
      <c r="E202">
        <v>49.345973888464599</v>
      </c>
      <c r="F202">
        <v>23.539629189670499</v>
      </c>
      <c r="G202">
        <v>53.599705233195202</v>
      </c>
      <c r="H202">
        <v>32.307746297285298</v>
      </c>
      <c r="I202">
        <v>90.777069016779606</v>
      </c>
      <c r="J202">
        <v>67.392139432310302</v>
      </c>
      <c r="K202" t="s">
        <v>4</v>
      </c>
      <c r="L202">
        <v>5.48</v>
      </c>
      <c r="M202">
        <v>0</v>
      </c>
      <c r="N202">
        <f>LN(1+Table1[[#This Row],[Redness]])</f>
        <v>5.1524239092220467</v>
      </c>
      <c r="O202">
        <f>LN(1+Table1[[#This Row],[Greeness]])</f>
        <v>4.6136336011841514</v>
      </c>
      <c r="P202">
        <f>LN(1+Table1[[#This Row],[Blueness]])</f>
        <v>2.8243270835408087</v>
      </c>
      <c r="Q202">
        <f>LN(1+Table1[[#This Row],[L* lab]])</f>
        <v>3.9189186534741456</v>
      </c>
      <c r="R202">
        <f>LN(1+Table1[[#This Row],[a* lab]]+128)</f>
        <v>5.0274244258276086</v>
      </c>
      <c r="S202">
        <f>LN(1+Table1[[#This Row],[b* lab]]+128)</f>
        <v>5.2072963538835255</v>
      </c>
      <c r="T202">
        <f>LN(1+Table1[[#This Row],[Hue]])</f>
        <v>3.5057899914743018</v>
      </c>
      <c r="U202">
        <f>LN(1+Table1[[#This Row],[Saturation]])</f>
        <v>4.5193624735774778</v>
      </c>
      <c r="V202">
        <f>LN(1+Table1[[#This Row],[Value]])</f>
        <v>4.2252578974443704</v>
      </c>
    </row>
    <row r="203" spans="1:23" x14ac:dyDescent="0.3">
      <c r="A203">
        <v>200</v>
      </c>
      <c r="B203">
        <v>180.46837777445401</v>
      </c>
      <c r="C203">
        <v>108.90906441201101</v>
      </c>
      <c r="D203">
        <v>24.78160399819</v>
      </c>
      <c r="E203">
        <v>52.673784912257297</v>
      </c>
      <c r="F203">
        <v>22.488636865061601</v>
      </c>
      <c r="G203">
        <v>54.083587615655198</v>
      </c>
      <c r="H203">
        <v>32.421814020522902</v>
      </c>
      <c r="I203">
        <v>86.268173790999796</v>
      </c>
      <c r="J203">
        <v>70.771912852727397</v>
      </c>
      <c r="K203" t="s">
        <v>4</v>
      </c>
      <c r="L203">
        <v>5.48</v>
      </c>
      <c r="M203">
        <v>0</v>
      </c>
      <c r="N203">
        <f>LN(1+Table1[[#This Row],[Redness]])</f>
        <v>5.2010814113875998</v>
      </c>
      <c r="O203">
        <f>LN(1+Table1[[#This Row],[Greeness]])</f>
        <v>4.6996533367346069</v>
      </c>
      <c r="P203">
        <f>LN(1+Table1[[#This Row],[Blueness]])</f>
        <v>3.249661214279572</v>
      </c>
      <c r="Q203">
        <f>LN(1+Table1[[#This Row],[L* lab]])</f>
        <v>3.9829247056372918</v>
      </c>
      <c r="R203">
        <f>LN(1+Table1[[#This Row],[a* lab]]+128)</f>
        <v>5.0205106179454564</v>
      </c>
      <c r="S203">
        <f>LN(1+Table1[[#This Row],[b* lab]]+128)</f>
        <v>5.2099428114840673</v>
      </c>
      <c r="T203">
        <f>LN(1+Table1[[#This Row],[Hue]])</f>
        <v>3.5092088011831852</v>
      </c>
      <c r="U203">
        <f>LN(1+Table1[[#This Row],[Saturation]])</f>
        <v>4.468985834990872</v>
      </c>
      <c r="V203">
        <f>LN(1+Table1[[#This Row],[Value]])</f>
        <v>4.273493213625855</v>
      </c>
    </row>
    <row r="204" spans="1:23" x14ac:dyDescent="0.3">
      <c r="A204">
        <v>200</v>
      </c>
      <c r="B204">
        <v>172.09491110794201</v>
      </c>
      <c r="C204">
        <v>99.947688648267004</v>
      </c>
      <c r="D204">
        <v>14.5692535138969</v>
      </c>
      <c r="E204">
        <v>49.400271593174701</v>
      </c>
      <c r="F204">
        <v>23.563396927602899</v>
      </c>
      <c r="G204">
        <v>54.018870013123603</v>
      </c>
      <c r="H204">
        <v>32.519820493393901</v>
      </c>
      <c r="I204">
        <v>91.534175287287397</v>
      </c>
      <c r="J204">
        <v>67.488200434487197</v>
      </c>
      <c r="K204" t="s">
        <v>4</v>
      </c>
      <c r="L204">
        <v>5.48</v>
      </c>
      <c r="M204">
        <v>0</v>
      </c>
      <c r="N204">
        <f>LN(1+Table1[[#This Row],[Redness]])</f>
        <v>5.15384006318238</v>
      </c>
      <c r="O204">
        <f>LN(1+Table1[[#This Row],[Greeness]])</f>
        <v>4.614602448491449</v>
      </c>
      <c r="P204">
        <f>LN(1+Table1[[#This Row],[Blueness]])</f>
        <v>2.7452980408235312</v>
      </c>
      <c r="Q204">
        <f>LN(1+Table1[[#This Row],[L* lab]])</f>
        <v>3.9199965638162699</v>
      </c>
      <c r="R204">
        <f>LN(1+Table1[[#This Row],[a* lab]]+128)</f>
        <v>5.0275802272189152</v>
      </c>
      <c r="S204">
        <f>LN(1+Table1[[#This Row],[b* lab]]+128)</f>
        <v>5.2095892623512645</v>
      </c>
      <c r="T204">
        <f>LN(1+Table1[[#This Row],[Hue]])</f>
        <v>3.5121369203905308</v>
      </c>
      <c r="U204">
        <f>LN(1+Table1[[#This Row],[Saturation]])</f>
        <v>4.5275780388491613</v>
      </c>
      <c r="V204">
        <f>LN(1+Table1[[#This Row],[Value]])</f>
        <v>4.226661473999493</v>
      </c>
    </row>
    <row r="205" spans="1:23" x14ac:dyDescent="0.3">
      <c r="A205">
        <v>200</v>
      </c>
      <c r="B205">
        <v>173.481199996805</v>
      </c>
      <c r="C205">
        <v>102.610421383161</v>
      </c>
      <c r="D205">
        <v>17.714050187686301</v>
      </c>
      <c r="E205">
        <v>50.224399130651797</v>
      </c>
      <c r="F205">
        <v>22.752032871641301</v>
      </c>
      <c r="G205">
        <v>53.898453836966397</v>
      </c>
      <c r="H205">
        <v>32.701261324807902</v>
      </c>
      <c r="I205">
        <v>89.789066372602605</v>
      </c>
      <c r="J205">
        <v>68.031843136002195</v>
      </c>
      <c r="K205" t="s">
        <v>4</v>
      </c>
      <c r="L205">
        <v>5.48</v>
      </c>
      <c r="M205">
        <v>0</v>
      </c>
      <c r="N205">
        <f>LN(1+Table1[[#This Row],[Redness]])</f>
        <v>5.1618169994305036</v>
      </c>
      <c r="O205">
        <f>LN(1+Table1[[#This Row],[Greeness]])</f>
        <v>4.64063791726785</v>
      </c>
      <c r="P205">
        <f>LN(1+Table1[[#This Row],[Blueness]])</f>
        <v>2.9292745886758333</v>
      </c>
      <c r="Q205">
        <f>LN(1+Table1[[#This Row],[L* lab]])</f>
        <v>3.9362159640542496</v>
      </c>
      <c r="R205">
        <f>LN(1+Table1[[#This Row],[a* lab]]+128)</f>
        <v>5.0222478260386199</v>
      </c>
      <c r="S205">
        <f>LN(1+Table1[[#This Row],[b* lab]]+128)</f>
        <v>5.2089311017633104</v>
      </c>
      <c r="T205">
        <f>LN(1+Table1[[#This Row],[Hue]])</f>
        <v>3.5175352646937474</v>
      </c>
      <c r="U205">
        <f>LN(1+Table1[[#This Row],[Saturation]])</f>
        <v>4.5085388639582025</v>
      </c>
      <c r="V205">
        <f>LN(1+Table1[[#This Row],[Value]])</f>
        <v>4.2345678928659893</v>
      </c>
    </row>
    <row r="206" spans="1:23" x14ac:dyDescent="0.3">
      <c r="A206">
        <v>200</v>
      </c>
      <c r="B206">
        <v>178.728177774486</v>
      </c>
      <c r="C206">
        <v>107.992864617923</v>
      </c>
      <c r="D206">
        <v>23.193261571714199</v>
      </c>
      <c r="E206">
        <v>52.219782618332303</v>
      </c>
      <c r="F206">
        <v>22.191525996238699</v>
      </c>
      <c r="G206">
        <v>54.139864937478599</v>
      </c>
      <c r="H206">
        <v>32.712758697470299</v>
      </c>
      <c r="I206">
        <v>87.023164528103294</v>
      </c>
      <c r="J206">
        <v>70.089481480190898</v>
      </c>
      <c r="K206" t="s">
        <v>4</v>
      </c>
      <c r="L206">
        <v>5.48</v>
      </c>
      <c r="M206">
        <v>0</v>
      </c>
      <c r="N206">
        <f>LN(1+Table1[[#This Row],[Redness]])</f>
        <v>5.1914455860294444</v>
      </c>
      <c r="O206">
        <f>LN(1+Table1[[#This Row],[Greeness]])</f>
        <v>4.6912824178655095</v>
      </c>
      <c r="P206">
        <f>LN(1+Table1[[#This Row],[Blueness]])</f>
        <v>3.1860741469391254</v>
      </c>
      <c r="Q206">
        <f>LN(1+Table1[[#This Row],[L* lab]])</f>
        <v>3.9744301809551867</v>
      </c>
      <c r="R206">
        <f>LN(1+Table1[[#This Row],[a* lab]]+128)</f>
        <v>5.0185474171764319</v>
      </c>
      <c r="S206">
        <f>LN(1+Table1[[#This Row],[b* lab]]+128)</f>
        <v>5.2102501501969432</v>
      </c>
      <c r="T206">
        <f>LN(1+Table1[[#This Row],[Hue]])</f>
        <v>3.5178763620728999</v>
      </c>
      <c r="U206">
        <f>LN(1+Table1[[#This Row],[Saturation]])</f>
        <v>4.4776000131123084</v>
      </c>
      <c r="V206">
        <f>LN(1+Table1[[#This Row],[Value]])</f>
        <v>4.2639393860646146</v>
      </c>
    </row>
    <row r="207" spans="1:23" x14ac:dyDescent="0.3">
      <c r="A207">
        <v>200</v>
      </c>
      <c r="B207">
        <v>173.04613330000001</v>
      </c>
      <c r="C207">
        <v>102.45708809999999</v>
      </c>
      <c r="D207">
        <v>16.204217119999999</v>
      </c>
      <c r="E207">
        <v>50.123863249999999</v>
      </c>
      <c r="F207">
        <v>22.627244000000001</v>
      </c>
      <c r="G207">
        <v>54.115946360000002</v>
      </c>
      <c r="H207">
        <v>32.996104500000001</v>
      </c>
      <c r="I207">
        <v>90.635897600000007</v>
      </c>
      <c r="J207">
        <v>67.861228760000003</v>
      </c>
      <c r="K207" t="s">
        <v>4</v>
      </c>
      <c r="L207" s="3">
        <v>5.48</v>
      </c>
      <c r="M207">
        <v>0</v>
      </c>
      <c r="N207">
        <f>LN(1+Table1[[#This Row],[Redness]])</f>
        <v>5.1593203979807916</v>
      </c>
      <c r="O207">
        <f>LN(1+Table1[[#This Row],[Greeness]])</f>
        <v>4.6391569190024065</v>
      </c>
      <c r="P207">
        <f>LN(1+Table1[[#This Row],[Blueness]])</f>
        <v>2.8451545351627097</v>
      </c>
      <c r="Q207">
        <f>LN(1+Table1[[#This Row],[L* lab]])</f>
        <v>3.9342513793969442</v>
      </c>
      <c r="R207">
        <f>LN(1+Table1[[#This Row],[a* lab]]+128)</f>
        <v>5.0214251668249394</v>
      </c>
      <c r="S207">
        <f>LN(1+Table1[[#This Row],[b* lab]]+128)</f>
        <v>5.2101195388767962</v>
      </c>
      <c r="T207">
        <f>LN(1+Table1[[#This Row],[Hue]])</f>
        <v>3.5262459445227017</v>
      </c>
      <c r="U207">
        <f>LN(1+Table1[[#This Row],[Saturation]])</f>
        <v>4.5178230901057255</v>
      </c>
      <c r="V207">
        <f>LN(1+Table1[[#This Row],[Value]])</f>
        <v>4.2320933020729825</v>
      </c>
      <c r="W207" t="s">
        <v>26</v>
      </c>
    </row>
    <row r="208" spans="1:23" x14ac:dyDescent="0.3">
      <c r="A208">
        <v>200</v>
      </c>
      <c r="B208">
        <v>170.04017780000001</v>
      </c>
      <c r="C208">
        <v>101.3488661</v>
      </c>
      <c r="D208">
        <v>16.1205301</v>
      </c>
      <c r="E208">
        <v>49.452064470000003</v>
      </c>
      <c r="F208">
        <v>21.90979836</v>
      </c>
      <c r="G208">
        <v>53.526336370000003</v>
      </c>
      <c r="H208">
        <v>33.223179999999999</v>
      </c>
      <c r="I208">
        <v>90.519575840000002</v>
      </c>
      <c r="J208">
        <v>66.68242266</v>
      </c>
      <c r="K208" t="s">
        <v>4</v>
      </c>
      <c r="L208" s="3">
        <v>5.48</v>
      </c>
      <c r="M208">
        <v>0</v>
      </c>
      <c r="N208">
        <f>LN(1+Table1[[#This Row],[Redness]])</f>
        <v>5.1418984867991133</v>
      </c>
      <c r="O208">
        <f>LN(1+Table1[[#This Row],[Greeness]])</f>
        <v>4.6283872333942444</v>
      </c>
      <c r="P208">
        <f>LN(1+Table1[[#This Row],[Blueness]])</f>
        <v>2.8402783340192745</v>
      </c>
      <c r="Q208">
        <f>LN(1+Table1[[#This Row],[L* lab]])</f>
        <v>3.9210236670723821</v>
      </c>
      <c r="R208">
        <f>LN(1+Table1[[#This Row],[a* lab]]+128)</f>
        <v>5.0166822964689413</v>
      </c>
      <c r="S208">
        <f>LN(1+Table1[[#This Row],[b* lab]]+128)</f>
        <v>5.2068944714877343</v>
      </c>
      <c r="T208">
        <f>LN(1+Table1[[#This Row],[Hue]])</f>
        <v>3.5329031922587131</v>
      </c>
      <c r="U208">
        <f>LN(1+Table1[[#This Row],[Saturation]])</f>
        <v>4.5165528930053629</v>
      </c>
      <c r="V208">
        <f>LN(1+Table1[[#This Row],[Value]])</f>
        <v>4.214826510461096</v>
      </c>
      <c r="W208" t="s">
        <v>26</v>
      </c>
    </row>
    <row r="209" spans="1:23" x14ac:dyDescent="0.3">
      <c r="A209">
        <v>200</v>
      </c>
      <c r="B209">
        <v>170.51599999999999</v>
      </c>
      <c r="C209">
        <v>104.3091321</v>
      </c>
      <c r="D209">
        <v>13.361835940000001</v>
      </c>
      <c r="E209">
        <v>50.21447491</v>
      </c>
      <c r="F209">
        <v>20.408503830000001</v>
      </c>
      <c r="G209">
        <v>54.833500649999998</v>
      </c>
      <c r="H209">
        <v>34.722832850000003</v>
      </c>
      <c r="I209">
        <v>92.163881430000004</v>
      </c>
      <c r="J209">
        <v>66.869019609999995</v>
      </c>
      <c r="K209" t="s">
        <v>4</v>
      </c>
      <c r="L209" s="3">
        <v>5.48</v>
      </c>
      <c r="M209">
        <v>0</v>
      </c>
      <c r="N209">
        <f>LN(1+Table1[[#This Row],[Redness]])</f>
        <v>5.1446765567149786</v>
      </c>
      <c r="O209">
        <f>LN(1+Table1[[#This Row],[Greeness]])</f>
        <v>4.6569001399759609</v>
      </c>
      <c r="P209">
        <f>LN(1+Table1[[#This Row],[Blueness]])</f>
        <v>2.6645744064227692</v>
      </c>
      <c r="Q209">
        <f>LN(1+Table1[[#This Row],[L* lab]])</f>
        <v>3.9360222051755858</v>
      </c>
      <c r="R209">
        <f>LN(1+Table1[[#This Row],[a* lab]]+128)</f>
        <v>5.0066841909583601</v>
      </c>
      <c r="S209">
        <f>LN(1+Table1[[#This Row],[b* lab]]+128)</f>
        <v>5.2140304601791581</v>
      </c>
      <c r="T209">
        <f>LN(1+Table1[[#This Row],[Hue]])</f>
        <v>3.5757900599745178</v>
      </c>
      <c r="U209">
        <f>LN(1+Table1[[#This Row],[Saturation]])</f>
        <v>4.5343601082744494</v>
      </c>
      <c r="V209">
        <f>LN(1+Table1[[#This Row],[Value]])</f>
        <v>4.2175796654956725</v>
      </c>
      <c r="W209" t="s">
        <v>26</v>
      </c>
    </row>
    <row r="210" spans="1:23" x14ac:dyDescent="0.3">
      <c r="A210">
        <v>300</v>
      </c>
      <c r="B210">
        <v>157.32362221932499</v>
      </c>
      <c r="C210">
        <v>75.526983025611997</v>
      </c>
      <c r="D210">
        <v>15.2823931972981</v>
      </c>
      <c r="E210">
        <v>41.754236211058</v>
      </c>
      <c r="F210">
        <v>30.6018108712695</v>
      </c>
      <c r="G210">
        <v>47.023195055442798</v>
      </c>
      <c r="H210">
        <v>25.4480717647006</v>
      </c>
      <c r="I210">
        <v>90.286014915170895</v>
      </c>
      <c r="J210">
        <v>61.695538125225603</v>
      </c>
      <c r="K210" t="s">
        <v>4</v>
      </c>
      <c r="L210">
        <v>8.2200000000000006</v>
      </c>
      <c r="M210">
        <v>0</v>
      </c>
      <c r="N210">
        <f>LN(1+Table1[[#This Row],[Redness]])</f>
        <v>5.0646411801339326</v>
      </c>
      <c r="O210">
        <f>LN(1+Table1[[#This Row],[Greeness]])</f>
        <v>4.3376433979307105</v>
      </c>
      <c r="P210">
        <f>LN(1+Table1[[#This Row],[Blueness]])</f>
        <v>2.7900843520616543</v>
      </c>
      <c r="Q210">
        <f>LN(1+Table1[[#This Row],[L* lab]])</f>
        <v>3.7554682831297437</v>
      </c>
      <c r="R210">
        <f>LN(1+Table1[[#This Row],[a* lab]]+128)</f>
        <v>5.072682031262552</v>
      </c>
      <c r="S210">
        <f>LN(1+Table1[[#This Row],[b* lab]]+128)</f>
        <v>5.1706157764423439</v>
      </c>
      <c r="T210">
        <f>LN(1+Table1[[#This Row],[Hue]])</f>
        <v>3.2751832545013557</v>
      </c>
      <c r="U210">
        <f>LN(1+Table1[[#This Row],[Saturation]])</f>
        <v>4.5139975985972312</v>
      </c>
      <c r="V210">
        <f>LN(1+Table1[[#This Row],[Value]])</f>
        <v>4.1382902828296162</v>
      </c>
    </row>
    <row r="211" spans="1:23" x14ac:dyDescent="0.3">
      <c r="A211">
        <v>300</v>
      </c>
      <c r="B211">
        <v>159.826311108168</v>
      </c>
      <c r="C211">
        <v>78.113582444284106</v>
      </c>
      <c r="D211">
        <v>17.557120347097399</v>
      </c>
      <c r="E211">
        <v>42.710819974429803</v>
      </c>
      <c r="F211">
        <v>30.310001225362399</v>
      </c>
      <c r="G211">
        <v>47.206647650919898</v>
      </c>
      <c r="H211">
        <v>25.538823313707901</v>
      </c>
      <c r="I211">
        <v>89.014874819193494</v>
      </c>
      <c r="J211">
        <v>62.676984748301301</v>
      </c>
      <c r="K211" t="s">
        <v>4</v>
      </c>
      <c r="L211">
        <v>8.2200000000000006</v>
      </c>
      <c r="M211">
        <v>0</v>
      </c>
      <c r="N211">
        <f>LN(1+Table1[[#This Row],[Redness]])</f>
        <v>5.0803249696541215</v>
      </c>
      <c r="O211">
        <f>LN(1+Table1[[#This Row],[Greeness]])</f>
        <v>4.3708845723498548</v>
      </c>
      <c r="P211">
        <f>LN(1+Table1[[#This Row],[Blueness]])</f>
        <v>2.9208535616080473</v>
      </c>
      <c r="Q211">
        <f>LN(1+Table1[[#This Row],[L* lab]])</f>
        <v>3.7775956681234222</v>
      </c>
      <c r="R211">
        <f>LN(1+Table1[[#This Row],[a* lab]]+128)</f>
        <v>5.0708519972764892</v>
      </c>
      <c r="S211">
        <f>LN(1+Table1[[#This Row],[b* lab]]+128)</f>
        <v>5.1716574406616829</v>
      </c>
      <c r="T211">
        <f>LN(1+Table1[[#This Row],[Hue]])</f>
        <v>3.2786086915876393</v>
      </c>
      <c r="U211">
        <f>LN(1+Table1[[#This Row],[Saturation]])</f>
        <v>4.4999749324425462</v>
      </c>
      <c r="V211">
        <f>LN(1+Table1[[#This Row],[Value]])</f>
        <v>4.153823190356996</v>
      </c>
    </row>
    <row r="212" spans="1:23" x14ac:dyDescent="0.3">
      <c r="A212">
        <v>300</v>
      </c>
      <c r="B212">
        <v>159.626844441505</v>
      </c>
      <c r="C212">
        <v>78.813137842617394</v>
      </c>
      <c r="D212">
        <v>14.086264263656201</v>
      </c>
      <c r="E212">
        <v>42.815029576539096</v>
      </c>
      <c r="F212">
        <v>29.777044349607401</v>
      </c>
      <c r="G212">
        <v>48.406053815969102</v>
      </c>
      <c r="H212">
        <v>26.684052035466198</v>
      </c>
      <c r="I212">
        <v>91.175504149730799</v>
      </c>
      <c r="J212">
        <v>62.598762526080499</v>
      </c>
      <c r="K212" t="s">
        <v>4</v>
      </c>
      <c r="L212">
        <v>8.2200000000000006</v>
      </c>
      <c r="M212">
        <v>0</v>
      </c>
      <c r="N212">
        <f>LN(1+Table1[[#This Row],[Redness]])</f>
        <v>5.0790839384878677</v>
      </c>
      <c r="O212">
        <f>LN(1+Table1[[#This Row],[Greeness]])</f>
        <v>4.379688125524237</v>
      </c>
      <c r="P212">
        <f>LN(1+Table1[[#This Row],[Blueness]])</f>
        <v>2.7137846784234618</v>
      </c>
      <c r="Q212">
        <f>LN(1+Table1[[#This Row],[L* lab]])</f>
        <v>3.7799768995398604</v>
      </c>
      <c r="R212">
        <f>LN(1+Table1[[#This Row],[a* lab]]+128)</f>
        <v>5.0675009813712695</v>
      </c>
      <c r="S212">
        <f>LN(1+Table1[[#This Row],[b* lab]]+128)</f>
        <v>5.1784411945241686</v>
      </c>
      <c r="T212">
        <f>LN(1+Table1[[#This Row],[Hue]])</f>
        <v>3.3208565086002388</v>
      </c>
      <c r="U212">
        <f>LN(1+Table1[[#This Row],[Saturation]])</f>
        <v>4.5236944135897179</v>
      </c>
      <c r="V212">
        <f>LN(1+Table1[[#This Row],[Value]])</f>
        <v>4.1525940130196846</v>
      </c>
    </row>
    <row r="213" spans="1:23" x14ac:dyDescent="0.3">
      <c r="A213">
        <v>300</v>
      </c>
      <c r="B213">
        <v>162.66702221922699</v>
      </c>
      <c r="C213">
        <v>82.010470457362999</v>
      </c>
      <c r="D213">
        <v>17.134196426665799</v>
      </c>
      <c r="E213">
        <v>43.9888184602653</v>
      </c>
      <c r="F213">
        <v>29.400545683663701</v>
      </c>
      <c r="G213">
        <v>48.517027614113999</v>
      </c>
      <c r="H213">
        <v>26.747068371985002</v>
      </c>
      <c r="I213">
        <v>89.466705547991097</v>
      </c>
      <c r="J213">
        <v>63.7909891055792</v>
      </c>
      <c r="K213" t="s">
        <v>4</v>
      </c>
      <c r="L213">
        <v>8.2200000000000006</v>
      </c>
      <c r="M213">
        <v>0</v>
      </c>
      <c r="N213">
        <f>LN(1+Table1[[#This Row],[Redness]])</f>
        <v>5.097834011542953</v>
      </c>
      <c r="O213">
        <f>LN(1+Table1[[#This Row],[Greeness]])</f>
        <v>4.418966749929055</v>
      </c>
      <c r="P213">
        <f>LN(1+Table1[[#This Row],[Blueness]])</f>
        <v>2.8977994611198588</v>
      </c>
      <c r="Q213">
        <f>LN(1+Table1[[#This Row],[L* lab]])</f>
        <v>3.8064139802336112</v>
      </c>
      <c r="R213">
        <f>LN(1+Table1[[#This Row],[a* lab]]+128)</f>
        <v>5.0651269243470161</v>
      </c>
      <c r="S213">
        <f>LN(1+Table1[[#This Row],[b* lab]]+128)</f>
        <v>5.1790665345348215</v>
      </c>
      <c r="T213">
        <f>LN(1+Table1[[#This Row],[Hue]])</f>
        <v>3.3231301903589037</v>
      </c>
      <c r="U213">
        <f>LN(1+Table1[[#This Row],[Saturation]])</f>
        <v>4.5049818885187616</v>
      </c>
      <c r="V213">
        <f>LN(1+Table1[[#This Row],[Value]])</f>
        <v>4.1711665366762398</v>
      </c>
    </row>
    <row r="214" spans="1:23" x14ac:dyDescent="0.3">
      <c r="A214">
        <v>300</v>
      </c>
      <c r="B214">
        <v>164.647199996968</v>
      </c>
      <c r="C214">
        <v>84.772158725573505</v>
      </c>
      <c r="D214">
        <v>20.122663246512499</v>
      </c>
      <c r="E214">
        <v>44.908048699115902</v>
      </c>
      <c r="F214">
        <v>28.808874180067601</v>
      </c>
      <c r="G214">
        <v>48.375573010766601</v>
      </c>
      <c r="H214">
        <v>26.839523695836501</v>
      </c>
      <c r="I214">
        <v>87.778314330955396</v>
      </c>
      <c r="J214">
        <v>64.567529410575801</v>
      </c>
      <c r="K214" t="s">
        <v>4</v>
      </c>
      <c r="L214">
        <v>8.2200000000000006</v>
      </c>
      <c r="M214">
        <v>0</v>
      </c>
      <c r="N214">
        <f>LN(1+Table1[[#This Row],[Redness]])</f>
        <v>5.109860225475777</v>
      </c>
      <c r="O214">
        <f>LN(1+Table1[[#This Row],[Greeness]])</f>
        <v>4.4516944634575912</v>
      </c>
      <c r="P214">
        <f>LN(1+Table1[[#This Row],[Blueness]])</f>
        <v>3.0503465515751822</v>
      </c>
      <c r="Q214">
        <f>LN(1+Table1[[#This Row],[L* lab]])</f>
        <v>3.8266404546158879</v>
      </c>
      <c r="R214">
        <f>LN(1+Table1[[#This Row],[a* lab]]+128)</f>
        <v>5.0613846437130974</v>
      </c>
      <c r="S214">
        <f>LN(1+Table1[[#This Row],[b* lab]]+128)</f>
        <v>5.1782693659796628</v>
      </c>
      <c r="T214">
        <f>LN(1+Table1[[#This Row],[Hue]])</f>
        <v>3.3264567266933023</v>
      </c>
      <c r="U214">
        <f>LN(1+Table1[[#This Row],[Saturation]])</f>
        <v>4.4861424121897624</v>
      </c>
      <c r="V214">
        <f>LN(1+Table1[[#This Row],[Value]])</f>
        <v>4.1830805949104279</v>
      </c>
    </row>
    <row r="215" spans="1:23" x14ac:dyDescent="0.3">
      <c r="A215">
        <v>300</v>
      </c>
      <c r="B215">
        <v>161.06115555259001</v>
      </c>
      <c r="C215">
        <v>81.189670641834496</v>
      </c>
      <c r="D215">
        <v>16.5409651856064</v>
      </c>
      <c r="E215">
        <v>43.563069662959599</v>
      </c>
      <c r="F215">
        <v>29.148540246258602</v>
      </c>
      <c r="G215">
        <v>48.296839690620601</v>
      </c>
      <c r="H215">
        <v>26.840002891802399</v>
      </c>
      <c r="I215">
        <v>89.730009617244093</v>
      </c>
      <c r="J215">
        <v>63.161237471603897</v>
      </c>
      <c r="K215" t="s">
        <v>4</v>
      </c>
      <c r="L215">
        <v>8.2200000000000006</v>
      </c>
      <c r="M215">
        <v>0</v>
      </c>
      <c r="N215">
        <f>LN(1+Table1[[#This Row],[Redness]])</f>
        <v>5.0879737674069485</v>
      </c>
      <c r="O215">
        <f>LN(1+Table1[[#This Row],[Greeness]])</f>
        <v>4.4090296328745415</v>
      </c>
      <c r="P215">
        <f>LN(1+Table1[[#This Row],[Blueness]])</f>
        <v>2.8645390131157251</v>
      </c>
      <c r="Q215">
        <f>LN(1+Table1[[#This Row],[L* lab]])</f>
        <v>3.7969054815533307</v>
      </c>
      <c r="R215">
        <f>LN(1+Table1[[#This Row],[a* lab]]+128)</f>
        <v>5.0635347195241627</v>
      </c>
      <c r="S215">
        <f>LN(1+Table1[[#This Row],[b* lab]]+128)</f>
        <v>5.1778253882773111</v>
      </c>
      <c r="T215">
        <f>LN(1+Table1[[#This Row],[Hue]])</f>
        <v>3.3264739393384262</v>
      </c>
      <c r="U215">
        <f>LN(1+Table1[[#This Row],[Saturation]])</f>
        <v>4.5078881691800339</v>
      </c>
      <c r="V215">
        <f>LN(1+Table1[[#This Row],[Value]])</f>
        <v>4.1613992506478841</v>
      </c>
    </row>
    <row r="216" spans="1:23" x14ac:dyDescent="0.3">
      <c r="A216">
        <v>300</v>
      </c>
      <c r="B216">
        <v>164.496533330304</v>
      </c>
      <c r="C216">
        <v>85.496514118332996</v>
      </c>
      <c r="D216">
        <v>19.124196580222399</v>
      </c>
      <c r="E216">
        <v>45.0402251295884</v>
      </c>
      <c r="F216">
        <v>28.326529179337498</v>
      </c>
      <c r="G216">
        <v>48.826153350155202</v>
      </c>
      <c r="H216">
        <v>27.3940636940637</v>
      </c>
      <c r="I216">
        <v>88.3741035795437</v>
      </c>
      <c r="J216">
        <v>64.508444443256593</v>
      </c>
      <c r="K216" t="s">
        <v>4</v>
      </c>
      <c r="L216">
        <v>8.2200000000000006</v>
      </c>
      <c r="M216">
        <v>0</v>
      </c>
      <c r="N216">
        <f>LN(1+Table1[[#This Row],[Redness]])</f>
        <v>5.1089502479530449</v>
      </c>
      <c r="O216">
        <f>LN(1+Table1[[#This Row],[Greeness]])</f>
        <v>4.4601041139157758</v>
      </c>
      <c r="P216">
        <f>LN(1+Table1[[#This Row],[Blueness]])</f>
        <v>3.0019229010281112</v>
      </c>
      <c r="Q216">
        <f>LN(1+Table1[[#This Row],[L* lab]])</f>
        <v>3.8295154737111532</v>
      </c>
      <c r="R216">
        <f>LN(1+Table1[[#This Row],[a* lab]]+128)</f>
        <v>5.0583234492407794</v>
      </c>
      <c r="S216">
        <f>LN(1+Table1[[#This Row],[b* lab]]+128)</f>
        <v>5.1808064064703592</v>
      </c>
      <c r="T216">
        <f>LN(1+Table1[[#This Row],[Hue]])</f>
        <v>3.3461800984615082</v>
      </c>
      <c r="U216">
        <f>LN(1+Table1[[#This Row],[Saturation]])</f>
        <v>4.4928309710846408</v>
      </c>
      <c r="V216">
        <f>LN(1+Table1[[#This Row],[Value]])</f>
        <v>4.1821790571291872</v>
      </c>
    </row>
    <row r="217" spans="1:23" x14ac:dyDescent="0.3">
      <c r="A217">
        <v>300</v>
      </c>
      <c r="B217">
        <v>165.47115555250801</v>
      </c>
      <c r="C217">
        <v>86.471136121512799</v>
      </c>
      <c r="D217">
        <v>20.094530539321099</v>
      </c>
      <c r="E217">
        <v>45.404796504030699</v>
      </c>
      <c r="F217">
        <v>28.237502788771799</v>
      </c>
      <c r="G217">
        <v>48.828325929102597</v>
      </c>
      <c r="H217">
        <v>27.395025400887</v>
      </c>
      <c r="I217">
        <v>87.8561731969384</v>
      </c>
      <c r="J217">
        <v>64.890649236277895</v>
      </c>
      <c r="K217" t="s">
        <v>4</v>
      </c>
      <c r="L217">
        <v>8.2200000000000006</v>
      </c>
      <c r="M217">
        <v>0</v>
      </c>
      <c r="N217">
        <f>LN(1+Table1[[#This Row],[Redness]])</f>
        <v>5.1148220544878527</v>
      </c>
      <c r="O217">
        <f>LN(1+Table1[[#This Row],[Greeness]])</f>
        <v>4.4713088660465399</v>
      </c>
      <c r="P217">
        <f>LN(1+Table1[[#This Row],[Blueness]])</f>
        <v>3.0490137907337891</v>
      </c>
      <c r="Q217">
        <f>LN(1+Table1[[#This Row],[L* lab]])</f>
        <v>3.8374028268212923</v>
      </c>
      <c r="R217">
        <f>LN(1+Table1[[#This Row],[a* lab]]+128)</f>
        <v>5.0577574189010379</v>
      </c>
      <c r="S217">
        <f>LN(1+Table1[[#This Row],[b* lab]]+128)</f>
        <v>5.1808186238277889</v>
      </c>
      <c r="T217">
        <f>LN(1+Table1[[#This Row],[Hue]])</f>
        <v>3.3462139678839176</v>
      </c>
      <c r="U217">
        <f>LN(1+Table1[[#This Row],[Saturation]])</f>
        <v>4.4870190310496749</v>
      </c>
      <c r="V217">
        <f>LN(1+Table1[[#This Row],[Value]])</f>
        <v>4.1879965382127118</v>
      </c>
    </row>
    <row r="218" spans="1:23" x14ac:dyDescent="0.3">
      <c r="A218">
        <v>300</v>
      </c>
      <c r="B218">
        <v>164.13480000000001</v>
      </c>
      <c r="C218">
        <v>90.611757409999996</v>
      </c>
      <c r="D218">
        <v>15.53712086</v>
      </c>
      <c r="E218">
        <v>46.123593569999997</v>
      </c>
      <c r="F218">
        <v>25.28210472</v>
      </c>
      <c r="G218">
        <v>50.774882990000002</v>
      </c>
      <c r="H218">
        <v>30.313247279999999</v>
      </c>
      <c r="I218">
        <v>90.533926469999997</v>
      </c>
      <c r="J218">
        <v>64.366588230000005</v>
      </c>
      <c r="K218" t="s">
        <v>4</v>
      </c>
      <c r="L218">
        <v>8.2200000000000006</v>
      </c>
      <c r="M218">
        <v>0</v>
      </c>
      <c r="N218">
        <f>LN(1+Table1[[#This Row],[Redness]])</f>
        <v>5.1067621100594556</v>
      </c>
      <c r="O218">
        <f>LN(1+Table1[[#This Row],[Greeness]])</f>
        <v>4.5175596194475238</v>
      </c>
      <c r="P218">
        <f>LN(1+Table1[[#This Row],[Blueness]])</f>
        <v>2.8056076031011701</v>
      </c>
      <c r="Q218">
        <f>LN(1+Table1[[#This Row],[L* lab]])</f>
        <v>3.8527738006543788</v>
      </c>
      <c r="R218">
        <f>LN(1+Table1[[#This Row],[a* lab]]+128)</f>
        <v>5.0387827754559433</v>
      </c>
      <c r="S218">
        <f>LN(1+Table1[[#This Row],[b* lab]]+128)</f>
        <v>5.1917054181192039</v>
      </c>
      <c r="T218">
        <f>LN(1+Table1[[#This Row],[Hue]])</f>
        <v>3.4440412437898544</v>
      </c>
      <c r="U218">
        <f>LN(1+Table1[[#This Row],[Saturation]])</f>
        <v>4.5167096846520494</v>
      </c>
      <c r="V218">
        <f>LN(1+Table1[[#This Row],[Value]])</f>
        <v>4.180011244584465</v>
      </c>
      <c r="W218" t="s">
        <v>26</v>
      </c>
    </row>
    <row r="219" spans="1:23" x14ac:dyDescent="0.3">
      <c r="A219">
        <v>300</v>
      </c>
      <c r="B219">
        <v>167.02684444136901</v>
      </c>
      <c r="C219">
        <v>86.908424912122797</v>
      </c>
      <c r="D219">
        <v>2.2681106303946899</v>
      </c>
      <c r="E219">
        <v>45.671441430970198</v>
      </c>
      <c r="F219">
        <v>28.347549665905401</v>
      </c>
      <c r="G219">
        <v>54.044519397976899</v>
      </c>
      <c r="H219">
        <v>30.823366624861801</v>
      </c>
      <c r="I219">
        <v>98.642068202880395</v>
      </c>
      <c r="J219">
        <v>65.500723310340803</v>
      </c>
      <c r="K219" t="s">
        <v>4</v>
      </c>
      <c r="L219">
        <v>8.2200000000000006</v>
      </c>
      <c r="M219">
        <v>0</v>
      </c>
      <c r="N219">
        <f>LN(1+Table1[[#This Row],[Redness]])</f>
        <v>5.1241237549799434</v>
      </c>
      <c r="O219">
        <f>LN(1+Table1[[#This Row],[Greeness]])</f>
        <v>4.4762956466524422</v>
      </c>
      <c r="P219">
        <f>LN(1+Table1[[#This Row],[Blueness]])</f>
        <v>1.1842120290547231</v>
      </c>
      <c r="Q219">
        <f>LN(1+Table1[[#This Row],[L* lab]])</f>
        <v>3.8431324450851641</v>
      </c>
      <c r="R219">
        <f>LN(1+Table1[[#This Row],[a* lab]]+128)</f>
        <v>5.0584570508814126</v>
      </c>
      <c r="S219">
        <f>LN(1+Table1[[#This Row],[b* lab]]+128)</f>
        <v>5.2097293986535407</v>
      </c>
      <c r="T219">
        <f>LN(1+Table1[[#This Row],[Hue]])</f>
        <v>3.460200819477091</v>
      </c>
      <c r="U219">
        <f>LN(1+Table1[[#This Row],[Saturation]])</f>
        <v>4.6015844469316765</v>
      </c>
      <c r="V219">
        <f>LN(1+Table1[[#This Row],[Value]])</f>
        <v>4.1972128244498865</v>
      </c>
    </row>
    <row r="220" spans="1:23" x14ac:dyDescent="0.3">
      <c r="A220">
        <v>300</v>
      </c>
      <c r="B220">
        <v>164.54364444141399</v>
      </c>
      <c r="C220">
        <v>86.419891688585395</v>
      </c>
      <c r="D220">
        <v>3.3685916928449702</v>
      </c>
      <c r="E220">
        <v>45.196590027609403</v>
      </c>
      <c r="F220">
        <v>27.564408283608099</v>
      </c>
      <c r="G220">
        <v>53.280658975405402</v>
      </c>
      <c r="H220">
        <v>30.9171792704044</v>
      </c>
      <c r="I220">
        <v>97.9527670580772</v>
      </c>
      <c r="J220">
        <v>64.526919388790105</v>
      </c>
      <c r="K220" t="s">
        <v>4</v>
      </c>
      <c r="L220">
        <v>8.2200000000000006</v>
      </c>
      <c r="M220">
        <v>0</v>
      </c>
      <c r="N220">
        <f>LN(1+Table1[[#This Row],[Redness]])</f>
        <v>5.1092348726879946</v>
      </c>
      <c r="O220">
        <f>LN(1+Table1[[#This Row],[Greeness]])</f>
        <v>4.470722850456883</v>
      </c>
      <c r="P220">
        <f>LN(1+Table1[[#This Row],[Blueness]])</f>
        <v>1.4744406900847722</v>
      </c>
      <c r="Q220">
        <f>LN(1+Table1[[#This Row],[L* lab]])</f>
        <v>3.8329059864374768</v>
      </c>
      <c r="R220">
        <f>LN(1+Table1[[#This Row],[a* lab]]+128)</f>
        <v>5.0534674798427188</v>
      </c>
      <c r="S220">
        <f>LN(1+Table1[[#This Row],[b* lab]]+128)</f>
        <v>5.2055475815713139</v>
      </c>
      <c r="T220">
        <f>LN(1+Table1[[#This Row],[Hue]])</f>
        <v>3.4631443999551959</v>
      </c>
      <c r="U220">
        <f>LN(1+Table1[[#This Row],[Saturation]])</f>
        <v>4.594642635862507</v>
      </c>
      <c r="V220">
        <f>LN(1+Table1[[#This Row],[Value]])</f>
        <v>4.1824610412457748</v>
      </c>
    </row>
    <row r="221" spans="1:23" x14ac:dyDescent="0.3">
      <c r="A221">
        <v>300</v>
      </c>
      <c r="B221">
        <v>164.6131556</v>
      </c>
      <c r="C221">
        <v>92.031090430000006</v>
      </c>
      <c r="D221">
        <v>13.786893149999999</v>
      </c>
      <c r="E221">
        <v>46.513076230000003</v>
      </c>
      <c r="F221">
        <v>24.667617669999998</v>
      </c>
      <c r="G221">
        <v>51.601463699999996</v>
      </c>
      <c r="H221">
        <v>31.126222729999999</v>
      </c>
      <c r="I221">
        <v>91.624671129999996</v>
      </c>
      <c r="J221">
        <v>64.554178649999997</v>
      </c>
      <c r="K221" t="s">
        <v>4</v>
      </c>
      <c r="L221">
        <v>8.2200000000000006</v>
      </c>
      <c r="M221">
        <v>0</v>
      </c>
      <c r="N221">
        <f>LN(1+Table1[[#This Row],[Redness]])</f>
        <v>5.1096546808247938</v>
      </c>
      <c r="O221">
        <f>LN(1+Table1[[#This Row],[Greeness]])</f>
        <v>4.5329337429844818</v>
      </c>
      <c r="P221">
        <f>LN(1+Table1[[#This Row],[Blueness]])</f>
        <v>2.6937411904235375</v>
      </c>
      <c r="Q221">
        <f>LN(1+Table1[[#This Row],[L* lab]])</f>
        <v>3.8610049622081486</v>
      </c>
      <c r="R221">
        <f>LN(1+Table1[[#This Row],[a* lab]]+128)</f>
        <v>5.0347919430512542</v>
      </c>
      <c r="S221">
        <f>LN(1+Table1[[#This Row],[b* lab]]+128)</f>
        <v>5.1962927456012054</v>
      </c>
      <c r="T221">
        <f>LN(1+Table1[[#This Row],[Hue]])</f>
        <v>3.4696726041252992</v>
      </c>
      <c r="U221">
        <f>LN(1+Table1[[#This Row],[Saturation]])</f>
        <v>4.5285555330566414</v>
      </c>
      <c r="V221">
        <f>LN(1+Table1[[#This Row],[Value]])</f>
        <v>4.1828769556988981</v>
      </c>
      <c r="W221" t="s">
        <v>26</v>
      </c>
    </row>
    <row r="222" spans="1:23" x14ac:dyDescent="0.3">
      <c r="A222">
        <v>300</v>
      </c>
      <c r="B222">
        <v>167.78649999999999</v>
      </c>
      <c r="C222">
        <v>95.054745299999993</v>
      </c>
      <c r="D222">
        <v>15.277715519999999</v>
      </c>
      <c r="E222">
        <v>47.665764580000001</v>
      </c>
      <c r="F222">
        <v>24.40545294</v>
      </c>
      <c r="G222">
        <v>52.262777970000002</v>
      </c>
      <c r="H222">
        <v>31.38587592</v>
      </c>
      <c r="I222">
        <v>90.894550199999998</v>
      </c>
      <c r="J222">
        <v>65.798627449999998</v>
      </c>
      <c r="K222" t="s">
        <v>4</v>
      </c>
      <c r="L222">
        <v>8.2200000000000006</v>
      </c>
      <c r="M222">
        <v>0</v>
      </c>
      <c r="N222">
        <f>LN(1+Table1[[#This Row],[Redness]])</f>
        <v>5.1286346026602638</v>
      </c>
      <c r="O222">
        <f>LN(1+Table1[[#This Row],[Greeness]])</f>
        <v>4.5649182924710399</v>
      </c>
      <c r="P222">
        <f>LN(1+Table1[[#This Row],[Blueness]])</f>
        <v>2.7897970264036909</v>
      </c>
      <c r="Q222">
        <f>LN(1+Table1[[#This Row],[L* lab]])</f>
        <v>3.8849757968410352</v>
      </c>
      <c r="R222">
        <f>LN(1+Table1[[#This Row],[a* lab]]+128)</f>
        <v>5.0330844354982398</v>
      </c>
      <c r="S222">
        <f>LN(1+Table1[[#This Row],[b* lab]]+128)</f>
        <v>5.1999477903946643</v>
      </c>
      <c r="T222">
        <f>LN(1+Table1[[#This Row],[Hue]])</f>
        <v>3.4777223993588167</v>
      </c>
      <c r="U222">
        <f>LN(1+Table1[[#This Row],[Saturation]])</f>
        <v>4.5206417261886616</v>
      </c>
      <c r="V222">
        <f>LN(1+Table1[[#This Row],[Value]])</f>
        <v>4.2016825331758154</v>
      </c>
      <c r="W222" t="s">
        <v>26</v>
      </c>
    </row>
    <row r="223" spans="1:23" x14ac:dyDescent="0.3">
      <c r="A223">
        <v>300</v>
      </c>
      <c r="B223">
        <v>167.92937777468501</v>
      </c>
      <c r="C223">
        <v>89.166513293515393</v>
      </c>
      <c r="D223">
        <v>2.0751204812790802</v>
      </c>
      <c r="E223">
        <v>46.306745534051998</v>
      </c>
      <c r="F223">
        <v>27.499375474969799</v>
      </c>
      <c r="G223">
        <v>54.569250561579999</v>
      </c>
      <c r="H223">
        <v>31.506478362445399</v>
      </c>
      <c r="I223">
        <v>98.764289781348793</v>
      </c>
      <c r="J223">
        <v>65.854657950857103</v>
      </c>
      <c r="K223" t="s">
        <v>4</v>
      </c>
      <c r="L223">
        <v>8.2200000000000006</v>
      </c>
      <c r="M223">
        <v>0</v>
      </c>
      <c r="N223">
        <f>LN(1+Table1[[#This Row],[Redness]])</f>
        <v>5.1294807445956154</v>
      </c>
      <c r="O223">
        <f>LN(1+Table1[[#This Row],[Greeness]])</f>
        <v>4.5016581086208474</v>
      </c>
      <c r="P223">
        <f>LN(1+Table1[[#This Row],[Blueness]])</f>
        <v>1.1233440813946955</v>
      </c>
      <c r="Q223">
        <f>LN(1+Table1[[#This Row],[L* lab]])</f>
        <v>3.8566528970433764</v>
      </c>
      <c r="R223">
        <f>LN(1+Table1[[#This Row],[a* lab]]+128)</f>
        <v>5.053052019396973</v>
      </c>
      <c r="S223">
        <f>LN(1+Table1[[#This Row],[b* lab]]+128)</f>
        <v>5.2125919835585321</v>
      </c>
      <c r="T223">
        <f>LN(1+Table1[[#This Row],[Hue]])</f>
        <v>3.4814394037003531</v>
      </c>
      <c r="U223">
        <f>LN(1+Table1[[#This Row],[Saturation]])</f>
        <v>4.6028103014631903</v>
      </c>
      <c r="V223">
        <f>LN(1+Table1[[#This Row],[Value]])</f>
        <v>4.2025209787698987</v>
      </c>
    </row>
    <row r="224" spans="1:23" x14ac:dyDescent="0.3">
      <c r="A224">
        <v>300</v>
      </c>
      <c r="B224">
        <v>165.9011555525</v>
      </c>
      <c r="C224">
        <v>88.688157845468297</v>
      </c>
      <c r="D224">
        <v>1.65846586575772</v>
      </c>
      <c r="E224">
        <v>45.900068833151302</v>
      </c>
      <c r="F224">
        <v>26.881492606221201</v>
      </c>
      <c r="G224">
        <v>54.264462397195203</v>
      </c>
      <c r="H224">
        <v>31.793083325303702</v>
      </c>
      <c r="I224">
        <v>99.000328924633095</v>
      </c>
      <c r="J224">
        <v>65.059276687255206</v>
      </c>
      <c r="K224" t="s">
        <v>4</v>
      </c>
      <c r="L224">
        <v>8.2200000000000006</v>
      </c>
      <c r="M224">
        <v>0</v>
      </c>
      <c r="N224">
        <f>LN(1+Table1[[#This Row],[Redness]])</f>
        <v>5.1174017542657504</v>
      </c>
      <c r="O224">
        <f>LN(1+Table1[[#This Row],[Greeness]])</f>
        <v>4.4963387407894047</v>
      </c>
      <c r="P224">
        <f>LN(1+Table1[[#This Row],[Blueness]])</f>
        <v>0.97774921421750616</v>
      </c>
      <c r="Q224">
        <f>LN(1+Table1[[#This Row],[L* lab]])</f>
        <v>3.8480191431089668</v>
      </c>
      <c r="R224">
        <f>LN(1+Table1[[#This Row],[a* lab]]+128)</f>
        <v>5.0490960557789197</v>
      </c>
      <c r="S224">
        <f>LN(1+Table1[[#This Row],[b* lab]]+128)</f>
        <v>5.2109302593289817</v>
      </c>
      <c r="T224">
        <f>LN(1+Table1[[#This Row],[Hue]])</f>
        <v>3.490217618924456</v>
      </c>
      <c r="U224">
        <f>LN(1+Table1[[#This Row],[Saturation]])</f>
        <v>4.6051734752290123</v>
      </c>
      <c r="V224">
        <f>LN(1+Table1[[#This Row],[Value]])</f>
        <v>4.1905524705726238</v>
      </c>
    </row>
    <row r="225" spans="1:23" x14ac:dyDescent="0.3">
      <c r="A225">
        <v>300</v>
      </c>
      <c r="B225">
        <v>170.13097780000001</v>
      </c>
      <c r="C225">
        <v>100.030022</v>
      </c>
      <c r="D225">
        <v>15.931823189999999</v>
      </c>
      <c r="E225">
        <v>49.155953799999999</v>
      </c>
      <c r="F225">
        <v>22.701660780000001</v>
      </c>
      <c r="G225">
        <v>53.261220129999998</v>
      </c>
      <c r="H225">
        <v>32.723213950000002</v>
      </c>
      <c r="I225">
        <v>90.635554209999995</v>
      </c>
      <c r="J225">
        <v>66.718030499999998</v>
      </c>
      <c r="K225" t="s">
        <v>4</v>
      </c>
      <c r="L225">
        <v>8.2200000000000006</v>
      </c>
      <c r="M225">
        <v>0</v>
      </c>
      <c r="N225">
        <f>LN(1+Table1[[#This Row],[Redness]])</f>
        <v>5.142429215357879</v>
      </c>
      <c r="O225">
        <f>LN(1+Table1[[#This Row],[Greeness]])</f>
        <v>4.615417720196719</v>
      </c>
      <c r="P225">
        <f>LN(1+Table1[[#This Row],[Blueness]])</f>
        <v>2.8291948802464897</v>
      </c>
      <c r="Q225">
        <f>LN(1+Table1[[#This Row],[L* lab]])</f>
        <v>3.9151372272017806</v>
      </c>
      <c r="R225">
        <f>LN(1+Table1[[#This Row],[a* lab]]+128)</f>
        <v>5.0219158340862542</v>
      </c>
      <c r="S225">
        <f>LN(1+Table1[[#This Row],[b* lab]]+128)</f>
        <v>5.2054409334930654</v>
      </c>
      <c r="T225">
        <f>LN(1+Table1[[#This Row],[Hue]])</f>
        <v>3.5181864414623716</v>
      </c>
      <c r="U225">
        <f>LN(1+Table1[[#This Row],[Saturation]])</f>
        <v>4.5178193427681386</v>
      </c>
      <c r="V225">
        <f>LN(1+Table1[[#This Row],[Value]])</f>
        <v>4.2153524738532386</v>
      </c>
      <c r="W225" t="s">
        <v>26</v>
      </c>
    </row>
    <row r="226" spans="1:23" x14ac:dyDescent="0.3">
      <c r="A226">
        <v>400</v>
      </c>
      <c r="B226">
        <v>154.71825000000001</v>
      </c>
      <c r="C226">
        <v>75.797521849999995</v>
      </c>
      <c r="D226">
        <v>13.635382630000001</v>
      </c>
      <c r="E226">
        <v>41.39837962</v>
      </c>
      <c r="F226">
        <v>29.319009350000002</v>
      </c>
      <c r="G226">
        <v>47.124140259999997</v>
      </c>
      <c r="H226">
        <v>26.436437130000002</v>
      </c>
      <c r="I226">
        <v>91.186959110000004</v>
      </c>
      <c r="J226">
        <v>60.67382353</v>
      </c>
      <c r="K226" t="s">
        <v>4</v>
      </c>
      <c r="L226" s="3">
        <v>10.96</v>
      </c>
      <c r="M226">
        <v>1</v>
      </c>
      <c r="N226">
        <f>LN(1+Table1[[#This Row],[Redness]])</f>
        <v>5.048048284559405</v>
      </c>
      <c r="O226">
        <f>LN(1+Table1[[#This Row],[Greeness]])</f>
        <v>4.341172372054892</v>
      </c>
      <c r="P226">
        <f>LN(1+Table1[[#This Row],[Blueness]])</f>
        <v>2.6834420646602948</v>
      </c>
      <c r="Q226">
        <f>LN(1+Table1[[#This Row],[L* lab]])</f>
        <v>3.7471101449982087</v>
      </c>
      <c r="R226">
        <f>LN(1+Table1[[#This Row],[a* lab]]+128)</f>
        <v>5.0646120440109641</v>
      </c>
      <c r="S226">
        <f>LN(1+Table1[[#This Row],[b* lab]]+128)</f>
        <v>5.1711890887874841</v>
      </c>
      <c r="T226">
        <f>LN(1+Table1[[#This Row],[Hue]])</f>
        <v>3.3118719522262898</v>
      </c>
      <c r="U226">
        <f>LN(1+Table1[[#This Row],[Saturation]])</f>
        <v>4.5238186792355704</v>
      </c>
      <c r="V226">
        <f>LN(1+Table1[[#This Row],[Value]])</f>
        <v>4.1218595869193377</v>
      </c>
      <c r="W226" t="s">
        <v>26</v>
      </c>
    </row>
    <row r="227" spans="1:23" x14ac:dyDescent="0.3">
      <c r="A227">
        <v>400</v>
      </c>
      <c r="B227">
        <v>154.6331083</v>
      </c>
      <c r="C227">
        <v>76.164557880000004</v>
      </c>
      <c r="D227">
        <v>13.75704659</v>
      </c>
      <c r="E227">
        <v>41.465776339999998</v>
      </c>
      <c r="F227">
        <v>29.087595749999998</v>
      </c>
      <c r="G227">
        <v>47.12517828</v>
      </c>
      <c r="H227">
        <v>26.579751250000001</v>
      </c>
      <c r="I227">
        <v>91.103427499999995</v>
      </c>
      <c r="J227">
        <v>60.640434640000002</v>
      </c>
      <c r="K227" t="s">
        <v>4</v>
      </c>
      <c r="L227" s="3">
        <v>10.96</v>
      </c>
      <c r="M227">
        <v>1</v>
      </c>
      <c r="N227">
        <f>LN(1+Table1[[#This Row],[Redness]])</f>
        <v>5.0475013673878388</v>
      </c>
      <c r="O227">
        <f>LN(1+Table1[[#This Row],[Greeness]])</f>
        <v>4.3459402567957861</v>
      </c>
      <c r="P227">
        <f>LN(1+Table1[[#This Row],[Blueness]])</f>
        <v>2.69172070362209</v>
      </c>
      <c r="Q227">
        <f>LN(1+Table1[[#This Row],[L* lab]])</f>
        <v>3.7486984889440556</v>
      </c>
      <c r="R227">
        <f>LN(1+Table1[[#This Row],[a* lab]]+128)</f>
        <v>5.0631492828831473</v>
      </c>
      <c r="S227">
        <f>LN(1+Table1[[#This Row],[b* lab]]+128)</f>
        <v>5.1711949824539598</v>
      </c>
      <c r="T227">
        <f>LN(1+Table1[[#This Row],[Hue]])</f>
        <v>3.3170818531076587</v>
      </c>
      <c r="U227">
        <f>LN(1+Table1[[#This Row],[Saturation]])</f>
        <v>4.522912157552514</v>
      </c>
      <c r="V227">
        <f>LN(1+Table1[[#This Row],[Value]])</f>
        <v>4.1213180616924667</v>
      </c>
      <c r="W227" t="s">
        <v>26</v>
      </c>
    </row>
    <row r="228" spans="1:23" x14ac:dyDescent="0.3">
      <c r="A228">
        <v>400</v>
      </c>
      <c r="B228">
        <v>162.892577774778</v>
      </c>
      <c r="C228">
        <v>81.892559372751904</v>
      </c>
      <c r="D228">
        <v>16.950867173641399</v>
      </c>
      <c r="E228">
        <v>43.996877621119999</v>
      </c>
      <c r="F228">
        <v>29.5531255903235</v>
      </c>
      <c r="G228">
        <v>48.624302463041197</v>
      </c>
      <c r="H228">
        <v>26.699026041950901</v>
      </c>
      <c r="I228">
        <v>89.593836990486807</v>
      </c>
      <c r="J228">
        <v>63.879442264619001</v>
      </c>
      <c r="K228" t="s">
        <v>4</v>
      </c>
      <c r="L228">
        <v>10.96</v>
      </c>
      <c r="M228">
        <v>1</v>
      </c>
      <c r="N228">
        <f>LN(1+Table1[[#This Row],[Redness]])</f>
        <v>5.0992111996406617</v>
      </c>
      <c r="O228">
        <f>LN(1+Table1[[#This Row],[Greeness]])</f>
        <v>4.4175453038640233</v>
      </c>
      <c r="P228">
        <f>LN(1+Table1[[#This Row],[Blueness]])</f>
        <v>2.8876384242766431</v>
      </c>
      <c r="Q228">
        <f>LN(1+Table1[[#This Row],[L* lab]])</f>
        <v>3.8065931011656531</v>
      </c>
      <c r="R228">
        <f>LN(1+Table1[[#This Row],[a* lab]]+128)</f>
        <v>5.0660897143840131</v>
      </c>
      <c r="S228">
        <f>LN(1+Table1[[#This Row],[b* lab]]+128)</f>
        <v>5.1796706593893775</v>
      </c>
      <c r="T228">
        <f>LN(1+Table1[[#This Row],[Hue]])</f>
        <v>3.3213972516347319</v>
      </c>
      <c r="U228">
        <f>LN(1+Table1[[#This Row],[Saturation]])</f>
        <v>4.5063861863476076</v>
      </c>
      <c r="V228">
        <f>LN(1+Table1[[#This Row],[Value]])</f>
        <v>4.1725308133555812</v>
      </c>
    </row>
    <row r="229" spans="1:23" x14ac:dyDescent="0.3">
      <c r="A229">
        <v>400</v>
      </c>
      <c r="B229">
        <v>165.22026666362399</v>
      </c>
      <c r="C229">
        <v>84.406736585478399</v>
      </c>
      <c r="D229">
        <v>19.579653109917999</v>
      </c>
      <c r="E229">
        <v>44.911366007467201</v>
      </c>
      <c r="F229">
        <v>29.236921117623002</v>
      </c>
      <c r="G229">
        <v>48.607547159626698</v>
      </c>
      <c r="H229">
        <v>26.707007843655301</v>
      </c>
      <c r="I229">
        <v>88.149363570644297</v>
      </c>
      <c r="J229">
        <v>64.792261436715506</v>
      </c>
      <c r="K229" t="s">
        <v>4</v>
      </c>
      <c r="L229">
        <v>10.96</v>
      </c>
      <c r="M229">
        <v>1</v>
      </c>
      <c r="N229">
        <f>LN(1+Table1[[#This Row],[Redness]])</f>
        <v>5.1133138164048111</v>
      </c>
      <c r="O229">
        <f>LN(1+Table1[[#This Row],[Greeness]])</f>
        <v>4.4474249804173844</v>
      </c>
      <c r="P229">
        <f>LN(1+Table1[[#This Row],[Blueness]])</f>
        <v>3.0243028745747291</v>
      </c>
      <c r="Q229">
        <f>LN(1+Table1[[#This Row],[L* lab]])</f>
        <v>3.8267127118473971</v>
      </c>
      <c r="R229">
        <f>LN(1+Table1[[#This Row],[a* lab]]+128)</f>
        <v>5.0640934106427897</v>
      </c>
      <c r="S229">
        <f>LN(1+Table1[[#This Row],[b* lab]]+128)</f>
        <v>5.1795763249233397</v>
      </c>
      <c r="T229">
        <f>LN(1+Table1[[#This Row],[Hue]])</f>
        <v>3.3216853719422095</v>
      </c>
      <c r="U229">
        <f>LN(1+Table1[[#This Row],[Saturation]])</f>
        <v>4.4903132054238171</v>
      </c>
      <c r="V229">
        <f>LN(1+Table1[[#This Row],[Value]])</f>
        <v>4.1865022240702361</v>
      </c>
    </row>
    <row r="230" spans="1:23" x14ac:dyDescent="0.3">
      <c r="A230">
        <v>400</v>
      </c>
      <c r="B230">
        <v>149.645716663911</v>
      </c>
      <c r="C230">
        <v>69.213167777950105</v>
      </c>
      <c r="D230">
        <v>1.7291004047752701</v>
      </c>
      <c r="E230">
        <v>39.137509908361203</v>
      </c>
      <c r="F230">
        <v>30.5095075932688</v>
      </c>
      <c r="G230">
        <v>48.797112098893699</v>
      </c>
      <c r="H230">
        <v>27.3738282066765</v>
      </c>
      <c r="I230">
        <v>98.844537322335299</v>
      </c>
      <c r="J230">
        <v>58.684594770161198</v>
      </c>
      <c r="K230" t="s">
        <v>4</v>
      </c>
      <c r="L230">
        <v>10.96</v>
      </c>
      <c r="M230">
        <v>1</v>
      </c>
      <c r="N230">
        <f>LN(1+Table1[[#This Row],[Redness]])</f>
        <v>5.0149308328051001</v>
      </c>
      <c r="O230">
        <f>LN(1+Table1[[#This Row],[Greeness]])</f>
        <v>4.2515358686262141</v>
      </c>
      <c r="P230">
        <f>LN(1+Table1[[#This Row],[Blueness]])</f>
        <v>1.0039720328322037</v>
      </c>
      <c r="Q230">
        <f>LN(1+Table1[[#This Row],[L* lab]])</f>
        <v>3.6923113062760491</v>
      </c>
      <c r="R230">
        <f>LN(1+Table1[[#This Row],[a* lab]]+128)</f>
        <v>5.0721035291835967</v>
      </c>
      <c r="S230">
        <f>LN(1+Table1[[#This Row],[b* lab]]+128)</f>
        <v>5.1806430805344732</v>
      </c>
      <c r="T230">
        <f>LN(1+Table1[[#This Row],[Hue]])</f>
        <v>3.3454671782678309</v>
      </c>
      <c r="U230">
        <f>LN(1+Table1[[#This Row],[Saturation]])</f>
        <v>4.6036143495253343</v>
      </c>
      <c r="V230">
        <f>LN(1+Table1[[#This Row],[Value]])</f>
        <v>4.089073943048561</v>
      </c>
    </row>
    <row r="231" spans="1:23" x14ac:dyDescent="0.3">
      <c r="A231">
        <v>400</v>
      </c>
      <c r="B231">
        <v>159.7199167</v>
      </c>
      <c r="C231">
        <v>81.452876140000001</v>
      </c>
      <c r="D231">
        <v>14.76982961</v>
      </c>
      <c r="E231">
        <v>43.411833710000003</v>
      </c>
      <c r="F231">
        <v>28.39145091</v>
      </c>
      <c r="G231">
        <v>48.649358919999997</v>
      </c>
      <c r="H231">
        <v>27.602486299999999</v>
      </c>
      <c r="I231">
        <v>90.752668850000006</v>
      </c>
      <c r="J231">
        <v>62.635261440000001</v>
      </c>
      <c r="K231" t="s">
        <v>4</v>
      </c>
      <c r="L231" s="3">
        <v>10.96</v>
      </c>
      <c r="M231">
        <v>1</v>
      </c>
      <c r="N231">
        <f>LN(1+Table1[[#This Row],[Redness]])</f>
        <v>5.0796632022138617</v>
      </c>
      <c r="O231">
        <f>LN(1+Table1[[#This Row],[Greeness]])</f>
        <v>4.4122269318417064</v>
      </c>
      <c r="P231">
        <f>LN(1+Table1[[#This Row],[Blueness]])</f>
        <v>2.758098596224122</v>
      </c>
      <c r="Q231">
        <f>LN(1+Table1[[#This Row],[L* lab]])</f>
        <v>3.7935059589267008</v>
      </c>
      <c r="R231">
        <f>LN(1+Table1[[#This Row],[a* lab]]+128)</f>
        <v>5.058736020086366</v>
      </c>
      <c r="S231">
        <f>LN(1+Table1[[#This Row],[b* lab]]+128)</f>
        <v>5.1798117137917945</v>
      </c>
      <c r="T231">
        <f>LN(1+Table1[[#This Row],[Hue]])</f>
        <v>3.3534936476137371</v>
      </c>
      <c r="U231">
        <f>LN(1+Table1[[#This Row],[Saturation]])</f>
        <v>4.5190965747950029</v>
      </c>
      <c r="V231">
        <f>LN(1+Table1[[#This Row],[Value]])</f>
        <v>4.1531677418664659</v>
      </c>
      <c r="W231" t="s">
        <v>26</v>
      </c>
    </row>
    <row r="232" spans="1:23" x14ac:dyDescent="0.3">
      <c r="A232">
        <v>400</v>
      </c>
      <c r="B232">
        <v>158.897422219296</v>
      </c>
      <c r="C232">
        <v>76.384693943955995</v>
      </c>
      <c r="D232">
        <v>5.2045202755303297</v>
      </c>
      <c r="E232">
        <v>42.1481676376549</v>
      </c>
      <c r="F232">
        <v>30.623422517391798</v>
      </c>
      <c r="G232">
        <v>50.392713642918501</v>
      </c>
      <c r="H232">
        <v>27.787948344342901</v>
      </c>
      <c r="I232">
        <v>96.724603707952198</v>
      </c>
      <c r="J232">
        <v>62.312714595802497</v>
      </c>
      <c r="K232" t="s">
        <v>4</v>
      </c>
      <c r="L232">
        <v>10.96</v>
      </c>
      <c r="M232">
        <v>1</v>
      </c>
      <c r="N232">
        <f>LN(1+Table1[[#This Row],[Redness]])</f>
        <v>5.0745324985048077</v>
      </c>
      <c r="O232">
        <f>LN(1+Table1[[#This Row],[Greeness]])</f>
        <v>4.3487890083779783</v>
      </c>
      <c r="P232">
        <f>LN(1+Table1[[#This Row],[Blueness]])</f>
        <v>1.8252781031021803</v>
      </c>
      <c r="Q232">
        <f>LN(1+Table1[[#This Row],[L* lab]])</f>
        <v>3.7646399516835092</v>
      </c>
      <c r="R232">
        <f>LN(1+Table1[[#This Row],[a* lab]]+128)</f>
        <v>5.0728174318756292</v>
      </c>
      <c r="S232">
        <f>LN(1+Table1[[#This Row],[b* lab]]+128)</f>
        <v>5.1895773336544968</v>
      </c>
      <c r="T232">
        <f>LN(1+Table1[[#This Row],[Hue]])</f>
        <v>3.3599568392970984</v>
      </c>
      <c r="U232">
        <f>LN(1+Table1[[#This Row],[Saturation]])</f>
        <v>4.5821533564950707</v>
      </c>
      <c r="V232">
        <f>LN(1+Table1[[#This Row],[Value]])</f>
        <v>4.1480861714728912</v>
      </c>
    </row>
    <row r="233" spans="1:23" x14ac:dyDescent="0.3">
      <c r="A233">
        <v>400</v>
      </c>
      <c r="B233">
        <v>164.8172611</v>
      </c>
      <c r="C233">
        <v>88.123241309999997</v>
      </c>
      <c r="D233">
        <v>16.604491549999999</v>
      </c>
      <c r="E233">
        <v>45.658112510000002</v>
      </c>
      <c r="F233">
        <v>26.982216569999999</v>
      </c>
      <c r="G233">
        <v>50.101894909999999</v>
      </c>
      <c r="H233">
        <v>28.95246474</v>
      </c>
      <c r="I233">
        <v>89.925514210000003</v>
      </c>
      <c r="J233">
        <v>64.634220040000002</v>
      </c>
      <c r="K233" t="s">
        <v>4</v>
      </c>
      <c r="L233" s="3">
        <v>10.96</v>
      </c>
      <c r="M233">
        <v>1</v>
      </c>
      <c r="N233">
        <f>LN(1+Table1[[#This Row],[Redness]])</f>
        <v>5.1108863452437365</v>
      </c>
      <c r="O233">
        <f>LN(1+Table1[[#This Row],[Greeness]])</f>
        <v>4.4900201456926396</v>
      </c>
      <c r="P233">
        <f>LN(1+Table1[[#This Row],[Blueness]])</f>
        <v>2.8681540711902356</v>
      </c>
      <c r="Q233">
        <f>LN(1+Table1[[#This Row],[L* lab]])</f>
        <v>3.842846813781938</v>
      </c>
      <c r="R233">
        <f>LN(1+Table1[[#This Row],[a* lab]]+128)</f>
        <v>5.0497420044053056</v>
      </c>
      <c r="S233">
        <f>LN(1+Table1[[#This Row],[b* lab]]+128)</f>
        <v>5.1879548891893679</v>
      </c>
      <c r="T233">
        <f>LN(1+Table1[[#This Row],[Hue]])</f>
        <v>3.3996116163339951</v>
      </c>
      <c r="U233">
        <f>LN(1+Table1[[#This Row],[Saturation]])</f>
        <v>4.5100406461773801</v>
      </c>
      <c r="V233">
        <f>LN(1+Table1[[#This Row],[Value]])</f>
        <v>4.1840972068907893</v>
      </c>
      <c r="W233" t="s">
        <v>26</v>
      </c>
    </row>
    <row r="234" spans="1:23" x14ac:dyDescent="0.3">
      <c r="A234">
        <v>400</v>
      </c>
      <c r="B234">
        <v>160.124777774829</v>
      </c>
      <c r="C234">
        <v>78.955871143872002</v>
      </c>
      <c r="D234">
        <v>2.5827036285845799</v>
      </c>
      <c r="E234">
        <v>42.881854433264699</v>
      </c>
      <c r="F234">
        <v>29.719241059296898</v>
      </c>
      <c r="G234">
        <v>51.688630921169</v>
      </c>
      <c r="H234">
        <v>29.086769840693101</v>
      </c>
      <c r="I234">
        <v>98.387068094972506</v>
      </c>
      <c r="J234">
        <v>62.7940304999331</v>
      </c>
      <c r="K234" t="s">
        <v>4</v>
      </c>
      <c r="L234">
        <v>10.96</v>
      </c>
      <c r="M234">
        <v>1</v>
      </c>
      <c r="N234">
        <f>LN(1+Table1[[#This Row],[Redness]])</f>
        <v>5.0821790820486505</v>
      </c>
      <c r="O234">
        <f>LN(1+Table1[[#This Row],[Greeness]])</f>
        <v>4.3814748717791288</v>
      </c>
      <c r="P234">
        <f>LN(1+Table1[[#This Row],[Blueness]])</f>
        <v>1.2761177189051711</v>
      </c>
      <c r="Q234">
        <f>LN(1+Table1[[#This Row],[L* lab]])</f>
        <v>3.7815008959831524</v>
      </c>
      <c r="R234">
        <f>LN(1+Table1[[#This Row],[a* lab]]+128)</f>
        <v>5.0671368618926769</v>
      </c>
      <c r="S234">
        <f>LN(1+Table1[[#This Row],[b* lab]]+128)</f>
        <v>5.1967752787464976</v>
      </c>
      <c r="T234">
        <f>LN(1+Table1[[#This Row],[Hue]])</f>
        <v>3.4040855349524226</v>
      </c>
      <c r="U234">
        <f>LN(1+Table1[[#This Row],[Saturation]])</f>
        <v>4.5990220055506708</v>
      </c>
      <c r="V234">
        <f>LN(1+Table1[[#This Row],[Value]])</f>
        <v>4.1556596201414191</v>
      </c>
    </row>
    <row r="235" spans="1:23" x14ac:dyDescent="0.3">
      <c r="A235">
        <v>400</v>
      </c>
      <c r="B235">
        <v>156.566244441561</v>
      </c>
      <c r="C235">
        <v>77.171738211515404</v>
      </c>
      <c r="D235">
        <v>2.2968322133685102</v>
      </c>
      <c r="E235">
        <v>41.943162206626099</v>
      </c>
      <c r="F235">
        <v>29.166761818707698</v>
      </c>
      <c r="G235">
        <v>50.905900933416497</v>
      </c>
      <c r="H235">
        <v>29.1210959774941</v>
      </c>
      <c r="I235">
        <v>98.532996546247304</v>
      </c>
      <c r="J235">
        <v>61.3985272319849</v>
      </c>
      <c r="K235" t="s">
        <v>4</v>
      </c>
      <c r="L235">
        <v>10.96</v>
      </c>
      <c r="M235">
        <v>1</v>
      </c>
      <c r="N235">
        <f>LN(1+Table1[[#This Row],[Redness]])</f>
        <v>5.0598459694674167</v>
      </c>
      <c r="O235">
        <f>LN(1+Table1[[#This Row],[Greeness]])</f>
        <v>4.3589081782843051</v>
      </c>
      <c r="P235">
        <f>LN(1+Table1[[#This Row],[Blueness]])</f>
        <v>1.1929620720965628</v>
      </c>
      <c r="Q235">
        <f>LN(1+Table1[[#This Row],[L* lab]])</f>
        <v>3.7598774321850432</v>
      </c>
      <c r="R235">
        <f>LN(1+Table1[[#This Row],[a* lab]]+128)</f>
        <v>5.063649930975207</v>
      </c>
      <c r="S235">
        <f>LN(1+Table1[[#This Row],[b* lab]]+128)</f>
        <v>5.1924339416048468</v>
      </c>
      <c r="T235">
        <f>LN(1+Table1[[#This Row],[Hue]])</f>
        <v>3.4052257893046973</v>
      </c>
      <c r="U235">
        <f>LN(1+Table1[[#This Row],[Saturation]])</f>
        <v>4.6004892127699764</v>
      </c>
      <c r="V235">
        <f>LN(1+Table1[[#This Row],[Value]])</f>
        <v>4.1335416730453254</v>
      </c>
    </row>
    <row r="236" spans="1:23" x14ac:dyDescent="0.3">
      <c r="A236">
        <v>400</v>
      </c>
      <c r="B236">
        <v>159.51537777484</v>
      </c>
      <c r="C236">
        <v>80.683270755645793</v>
      </c>
      <c r="D236">
        <v>2.20321207482404</v>
      </c>
      <c r="E236">
        <v>43.165058437682298</v>
      </c>
      <c r="F236">
        <v>28.517151197303399</v>
      </c>
      <c r="G236">
        <v>51.924144250370297</v>
      </c>
      <c r="H236">
        <v>29.932863106269</v>
      </c>
      <c r="I236">
        <v>98.618808979072895</v>
      </c>
      <c r="J236">
        <v>62.555050107780602</v>
      </c>
      <c r="K236" t="s">
        <v>4</v>
      </c>
      <c r="L236">
        <v>10.96</v>
      </c>
      <c r="M236">
        <v>1</v>
      </c>
      <c r="N236">
        <f>LN(1+Table1[[#This Row],[Redness]])</f>
        <v>5.078389749661671</v>
      </c>
      <c r="O236">
        <f>LN(1+Table1[[#This Row],[Greeness]])</f>
        <v>4.4028492165861017</v>
      </c>
      <c r="P236">
        <f>LN(1+Table1[[#This Row],[Blueness]])</f>
        <v>1.1641540797445591</v>
      </c>
      <c r="Q236">
        <f>LN(1+Table1[[#This Row],[L* lab]])</f>
        <v>3.7879339433634862</v>
      </c>
      <c r="R236">
        <f>LN(1+Table1[[#This Row],[a* lab]]+128)</f>
        <v>5.0595343488277109</v>
      </c>
      <c r="S236">
        <f>LN(1+Table1[[#This Row],[b* lab]]+128)</f>
        <v>5.1980778508826129</v>
      </c>
      <c r="T236">
        <f>LN(1+Table1[[#This Row],[Hue]])</f>
        <v>3.431819149702545</v>
      </c>
      <c r="U236">
        <f>LN(1+Table1[[#This Row],[Saturation]])</f>
        <v>4.6013509919329625</v>
      </c>
      <c r="V236">
        <f>LN(1+Table1[[#This Row],[Value]])</f>
        <v>4.1519064611623486</v>
      </c>
    </row>
    <row r="237" spans="1:23" x14ac:dyDescent="0.3">
      <c r="A237">
        <v>400</v>
      </c>
      <c r="B237">
        <v>160.85126666370499</v>
      </c>
      <c r="C237">
        <v>82.656581423263205</v>
      </c>
      <c r="D237">
        <v>1.6201111638522501</v>
      </c>
      <c r="E237">
        <v>43.801092919056003</v>
      </c>
      <c r="F237">
        <v>28.006045940442601</v>
      </c>
      <c r="G237">
        <v>52.5894038910997</v>
      </c>
      <c r="H237">
        <v>30.535407472874599</v>
      </c>
      <c r="I237">
        <v>98.992789303151994</v>
      </c>
      <c r="J237">
        <v>63.078928103413702</v>
      </c>
      <c r="K237" t="s">
        <v>4</v>
      </c>
      <c r="L237">
        <v>10.96</v>
      </c>
      <c r="M237">
        <v>1</v>
      </c>
      <c r="N237">
        <f>LN(1+Table1[[#This Row],[Redness]])</f>
        <v>5.0866778064998313</v>
      </c>
      <c r="O237">
        <f>LN(1+Table1[[#This Row],[Greeness]])</f>
        <v>4.4267201024402425</v>
      </c>
      <c r="P237">
        <f>LN(1+Table1[[#This Row],[Blueness]])</f>
        <v>0.9632167458241635</v>
      </c>
      <c r="Q237">
        <f>LN(1+Table1[[#This Row],[L* lab]])</f>
        <v>3.8022325346380166</v>
      </c>
      <c r="R237">
        <f>LN(1+Table1[[#This Row],[a* lab]]+128)</f>
        <v>5.0562843137816422</v>
      </c>
      <c r="S237">
        <f>LN(1+Table1[[#This Row],[b* lab]]+128)</f>
        <v>5.201748115847554</v>
      </c>
      <c r="T237">
        <f>LN(1+Table1[[#This Row],[Hue]])</f>
        <v>3.4511109613219593</v>
      </c>
      <c r="U237">
        <f>LN(1+Table1[[#This Row],[Saturation]])</f>
        <v>4.6050980764197789</v>
      </c>
      <c r="V237">
        <f>LN(1+Table1[[#This Row],[Value]])</f>
        <v>4.1601155751453804</v>
      </c>
    </row>
    <row r="238" spans="1:23" x14ac:dyDescent="0.3">
      <c r="A238">
        <v>400</v>
      </c>
      <c r="B238">
        <v>168.68735555244899</v>
      </c>
      <c r="C238">
        <v>88.474002338043306</v>
      </c>
      <c r="D238">
        <v>2.8724360689779802</v>
      </c>
      <c r="E238">
        <v>46.266501951827998</v>
      </c>
      <c r="F238">
        <v>28.215612330063799</v>
      </c>
      <c r="G238">
        <v>54.395915901065102</v>
      </c>
      <c r="H238">
        <v>30.974860357218201</v>
      </c>
      <c r="I238">
        <v>98.297183532475898</v>
      </c>
      <c r="J238">
        <v>66.1519041382155</v>
      </c>
      <c r="K238" t="s">
        <v>4</v>
      </c>
      <c r="L238">
        <v>10.96</v>
      </c>
      <c r="M238">
        <v>1</v>
      </c>
      <c r="N238">
        <f>LN(1+Table1[[#This Row],[Redness]])</f>
        <v>5.1339576588716067</v>
      </c>
      <c r="O238">
        <f>LN(1+Table1[[#This Row],[Greeness]])</f>
        <v>4.4939481064143827</v>
      </c>
      <c r="P238">
        <f>LN(1+Table1[[#This Row],[Blueness]])</f>
        <v>1.3538837841933944</v>
      </c>
      <c r="Q238">
        <f>LN(1+Table1[[#This Row],[L* lab]])</f>
        <v>3.8558018406247201</v>
      </c>
      <c r="R238">
        <f>LN(1+Table1[[#This Row],[a* lab]]+128)</f>
        <v>5.057618190140432</v>
      </c>
      <c r="S238">
        <f>LN(1+Table1[[#This Row],[b* lab]]+128)</f>
        <v>5.2116472907688776</v>
      </c>
      <c r="T238">
        <f>LN(1+Table1[[#This Row],[Hue]])</f>
        <v>3.4649499802065256</v>
      </c>
      <c r="U238">
        <f>LN(1+Table1[[#This Row],[Saturation]])</f>
        <v>4.5981172074311178</v>
      </c>
      <c r="V238">
        <f>LN(1+Table1[[#This Row],[Value]])</f>
        <v>4.2069572790558984</v>
      </c>
    </row>
    <row r="239" spans="1:23" x14ac:dyDescent="0.3">
      <c r="A239">
        <v>400</v>
      </c>
      <c r="B239">
        <v>167.81155555246499</v>
      </c>
      <c r="C239">
        <v>87.736158059426401</v>
      </c>
      <c r="D239">
        <v>1.7476944353774699</v>
      </c>
      <c r="E239">
        <v>45.969937365424897</v>
      </c>
      <c r="F239">
        <v>28.225756897943999</v>
      </c>
      <c r="G239">
        <v>54.419141075230698</v>
      </c>
      <c r="H239">
        <v>31.0682154608293</v>
      </c>
      <c r="I239">
        <v>98.958537491876598</v>
      </c>
      <c r="J239">
        <v>65.808453157829604</v>
      </c>
      <c r="K239" t="s">
        <v>4</v>
      </c>
      <c r="L239">
        <v>10.96</v>
      </c>
      <c r="M239">
        <v>1</v>
      </c>
      <c r="N239">
        <f>LN(1+Table1[[#This Row],[Redness]])</f>
        <v>5.1287830368831449</v>
      </c>
      <c r="O239">
        <f>LN(1+Table1[[#This Row],[Greeness]])</f>
        <v>4.4856674506640477</v>
      </c>
      <c r="P239">
        <f>LN(1+Table1[[#This Row],[Blueness]])</f>
        <v>1.0107621728999643</v>
      </c>
      <c r="Q239">
        <f>LN(1+Table1[[#This Row],[L* lab]])</f>
        <v>3.8495077665363091</v>
      </c>
      <c r="R239">
        <f>LN(1+Table1[[#This Row],[a* lab]]+128)</f>
        <v>5.0576827145247947</v>
      </c>
      <c r="S239">
        <f>LN(1+Table1[[#This Row],[b* lab]]+128)</f>
        <v>5.2117739222893391</v>
      </c>
      <c r="T239">
        <f>LN(1+Table1[[#This Row],[Hue]])</f>
        <v>3.4678653670314437</v>
      </c>
      <c r="U239">
        <f>LN(1+Table1[[#This Row],[Saturation]])</f>
        <v>4.6047554749261108</v>
      </c>
      <c r="V239">
        <f>LN(1+Table1[[#This Row],[Value]])</f>
        <v>4.2018296168154343</v>
      </c>
    </row>
    <row r="240" spans="1:23" x14ac:dyDescent="0.3">
      <c r="A240">
        <v>400</v>
      </c>
      <c r="B240">
        <v>169.89524444131601</v>
      </c>
      <c r="C240">
        <v>89.895224240851604</v>
      </c>
      <c r="D240">
        <v>1.5227938853717899</v>
      </c>
      <c r="E240">
        <v>46.756569337605598</v>
      </c>
      <c r="F240">
        <v>27.9402361366405</v>
      </c>
      <c r="G240">
        <v>55.126911670407701</v>
      </c>
      <c r="H240">
        <v>31.491766044986001</v>
      </c>
      <c r="I240">
        <v>99.103686574406794</v>
      </c>
      <c r="J240">
        <v>66.625586055418097</v>
      </c>
      <c r="K240" t="s">
        <v>4</v>
      </c>
      <c r="L240">
        <v>10.96</v>
      </c>
      <c r="M240">
        <v>1</v>
      </c>
      <c r="N240">
        <f>LN(1+Table1[[#This Row],[Redness]])</f>
        <v>5.1410507631768372</v>
      </c>
      <c r="O240">
        <f>LN(1+Table1[[#This Row],[Greeness]])</f>
        <v>4.5097074611987393</v>
      </c>
      <c r="P240">
        <f>LN(1+Table1[[#This Row],[Blueness]])</f>
        <v>0.9253669720577079</v>
      </c>
      <c r="Q240">
        <f>LN(1+Table1[[#This Row],[L* lab]])</f>
        <v>3.866116635214691</v>
      </c>
      <c r="R240">
        <f>LN(1+Table1[[#This Row],[a* lab]]+128)</f>
        <v>5.055865071328248</v>
      </c>
      <c r="S240">
        <f>LN(1+Table1[[#This Row],[b* lab]]+128)</f>
        <v>5.2156252571886812</v>
      </c>
      <c r="T240">
        <f>LN(1+Table1[[#This Row],[Hue]])</f>
        <v>3.480986704774566</v>
      </c>
      <c r="U240">
        <f>LN(1+Table1[[#This Row],[Saturation]])</f>
        <v>4.6062065145581599</v>
      </c>
      <c r="V240">
        <f>LN(1+Table1[[#This Row],[Value]])</f>
        <v>4.2139864033829655</v>
      </c>
    </row>
    <row r="241" spans="1:23" x14ac:dyDescent="0.3">
      <c r="A241">
        <v>400</v>
      </c>
      <c r="B241">
        <v>171.55288888573</v>
      </c>
      <c r="C241">
        <v>91.955357111178301</v>
      </c>
      <c r="D241">
        <v>2.12593323924234</v>
      </c>
      <c r="E241">
        <v>47.4607663795367</v>
      </c>
      <c r="F241">
        <v>27.537529334701201</v>
      </c>
      <c r="G241">
        <v>55.549020095040902</v>
      </c>
      <c r="H241">
        <v>31.811735102895799</v>
      </c>
      <c r="I241">
        <v>98.760770947635606</v>
      </c>
      <c r="J241">
        <v>67.275642700286298</v>
      </c>
      <c r="K241" t="s">
        <v>4</v>
      </c>
      <c r="L241">
        <v>10.96</v>
      </c>
      <c r="M241">
        <v>1</v>
      </c>
      <c r="N241">
        <f>LN(1+Table1[[#This Row],[Redness]])</f>
        <v>5.1507037917146699</v>
      </c>
      <c r="O241">
        <f>LN(1+Table1[[#This Row],[Greeness]])</f>
        <v>4.5321193468388623</v>
      </c>
      <c r="P241">
        <f>LN(1+Table1[[#This Row],[Blueness]])</f>
        <v>1.1397328751628928</v>
      </c>
      <c r="Q241">
        <f>LN(1+Table1[[#This Row],[L* lab]])</f>
        <v>3.8807545299462984</v>
      </c>
      <c r="R241">
        <f>LN(1+Table1[[#This Row],[a* lab]]+128)</f>
        <v>5.0532957852874096</v>
      </c>
      <c r="S241">
        <f>LN(1+Table1[[#This Row],[b* lab]]+128)</f>
        <v>5.2179151197628642</v>
      </c>
      <c r="T241">
        <f>LN(1+Table1[[#This Row],[Hue]])</f>
        <v>3.4907862289302911</v>
      </c>
      <c r="U241">
        <f>LN(1+Table1[[#This Row],[Saturation]])</f>
        <v>4.6027750293655325</v>
      </c>
      <c r="V241">
        <f>LN(1+Table1[[#This Row],[Value]])</f>
        <v>4.2235530807213406</v>
      </c>
    </row>
    <row r="242" spans="1:23" x14ac:dyDescent="0.3">
      <c r="A242">
        <v>500</v>
      </c>
      <c r="B242">
        <v>153.37904444162001</v>
      </c>
      <c r="C242">
        <v>74.480183260876103</v>
      </c>
      <c r="D242">
        <v>16.764982421938399</v>
      </c>
      <c r="E242">
        <v>40.9173554824783</v>
      </c>
      <c r="F242">
        <v>29.534134544627801</v>
      </c>
      <c r="G242">
        <v>45.625510862364898</v>
      </c>
      <c r="H242">
        <v>25.348137659777301</v>
      </c>
      <c r="I242">
        <v>89.069574345718607</v>
      </c>
      <c r="J242">
        <v>60.148644879066801</v>
      </c>
      <c r="K242" t="s">
        <v>4</v>
      </c>
      <c r="L242">
        <v>13.7</v>
      </c>
      <c r="M242">
        <v>1</v>
      </c>
      <c r="N242">
        <f>LN(1+Table1[[#This Row],[Redness]])</f>
        <v>5.039410905851172</v>
      </c>
      <c r="O242">
        <f>LN(1+Table1[[#This Row],[Greeness]])</f>
        <v>4.3238701484369368</v>
      </c>
      <c r="P242">
        <f>LN(1+Table1[[#This Row],[Blueness]])</f>
        <v>2.8772292399953492</v>
      </c>
      <c r="Q242">
        <f>LN(1+Table1[[#This Row],[L* lab]])</f>
        <v>3.7356999531583086</v>
      </c>
      <c r="R242">
        <f>LN(1+Table1[[#This Row],[a* lab]]+128)</f>
        <v>5.0659699300337344</v>
      </c>
      <c r="S242">
        <f>LN(1+Table1[[#This Row],[b* lab]]+128)</f>
        <v>5.1626437430552512</v>
      </c>
      <c r="T242">
        <f>LN(1+Table1[[#This Row],[Hue]])</f>
        <v>3.2713975954413312</v>
      </c>
      <c r="U242">
        <f>LN(1+Table1[[#This Row],[Saturation]])</f>
        <v>4.5005824199681044</v>
      </c>
      <c r="V242">
        <f>LN(1+Table1[[#This Row],[Value]])</f>
        <v>4.1133077012836541</v>
      </c>
    </row>
    <row r="243" spans="1:23" x14ac:dyDescent="0.3">
      <c r="A243">
        <v>500</v>
      </c>
      <c r="B243">
        <v>155.36782221936099</v>
      </c>
      <c r="C243">
        <v>76.437493932089396</v>
      </c>
      <c r="D243">
        <v>18.583053068749599</v>
      </c>
      <c r="E243">
        <v>41.660846104445397</v>
      </c>
      <c r="F243">
        <v>29.360329096324701</v>
      </c>
      <c r="G243">
        <v>45.688422885512097</v>
      </c>
      <c r="H243">
        <v>25.377580218585699</v>
      </c>
      <c r="I243">
        <v>88.039316762442198</v>
      </c>
      <c r="J243">
        <v>60.928557733082897</v>
      </c>
      <c r="K243" t="s">
        <v>4</v>
      </c>
      <c r="L243">
        <v>13.7</v>
      </c>
      <c r="M243">
        <v>1</v>
      </c>
      <c r="N243">
        <f>LN(1+Table1[[#This Row],[Redness]])</f>
        <v>5.0522110666583595</v>
      </c>
      <c r="O243">
        <f>LN(1+Table1[[#This Row],[Greeness]])</f>
        <v>4.3494710810305452</v>
      </c>
      <c r="P243">
        <f>LN(1+Table1[[#This Row],[Blueness]])</f>
        <v>2.9746645528707507</v>
      </c>
      <c r="Q243">
        <f>LN(1+Table1[[#This Row],[L* lab]])</f>
        <v>3.7532815465184699</v>
      </c>
      <c r="R243">
        <f>LN(1+Table1[[#This Row],[a* lab]]+128)</f>
        <v>5.0648730003888689</v>
      </c>
      <c r="S243">
        <f>LN(1+Table1[[#This Row],[b* lab]]+128)</f>
        <v>5.1630039464010062</v>
      </c>
      <c r="T243">
        <f>LN(1+Table1[[#This Row],[Hue]])</f>
        <v>3.2725144152041876</v>
      </c>
      <c r="U243">
        <f>LN(1+Table1[[#This Row],[Saturation]])</f>
        <v>4.489078033560066</v>
      </c>
      <c r="V243">
        <f>LN(1+Table1[[#This Row],[Value]])</f>
        <v>4.1259814260155014</v>
      </c>
    </row>
    <row r="244" spans="1:23" x14ac:dyDescent="0.3">
      <c r="A244">
        <v>500</v>
      </c>
      <c r="B244">
        <v>151.37561669999999</v>
      </c>
      <c r="C244">
        <v>72.510711479999998</v>
      </c>
      <c r="D244">
        <v>14.52516005</v>
      </c>
      <c r="E244">
        <v>40.16635093</v>
      </c>
      <c r="F244">
        <v>29.70241227</v>
      </c>
      <c r="G244">
        <v>45.666515429999997</v>
      </c>
      <c r="H244">
        <v>25.422882550000001</v>
      </c>
      <c r="I244">
        <v>90.404557639999993</v>
      </c>
      <c r="J244">
        <v>59.362986929999998</v>
      </c>
      <c r="K244" t="s">
        <v>4</v>
      </c>
      <c r="L244">
        <v>13.7</v>
      </c>
      <c r="M244">
        <v>1</v>
      </c>
      <c r="N244">
        <f>LN(1+Table1[[#This Row],[Redness]])</f>
        <v>5.0263486350450917</v>
      </c>
      <c r="O244">
        <f>LN(1+Table1[[#This Row],[Greeness]])</f>
        <v>4.2974311300223302</v>
      </c>
      <c r="P244">
        <f>LN(1+Table1[[#This Row],[Blueness]])</f>
        <v>2.7424619369451473</v>
      </c>
      <c r="Q244">
        <f>LN(1+Table1[[#This Row],[L* lab]])</f>
        <v>3.7176211976539104</v>
      </c>
      <c r="R244">
        <f>LN(1+Table1[[#This Row],[a* lab]]+128)</f>
        <v>5.067030827605878</v>
      </c>
      <c r="S244">
        <f>LN(1+Table1[[#This Row],[b* lab]]+128)</f>
        <v>5.1628785297937787</v>
      </c>
      <c r="T244">
        <f>LN(1+Table1[[#This Row],[Hue]])</f>
        <v>3.2742303979874929</v>
      </c>
      <c r="U244">
        <f>LN(1+Table1[[#This Row],[Saturation]])</f>
        <v>4.5152953419871382</v>
      </c>
      <c r="V244">
        <f>LN(1+Table1[[#This Row],[Value]])</f>
        <v>4.1003761179304288</v>
      </c>
      <c r="W244" t="s">
        <v>26</v>
      </c>
    </row>
    <row r="245" spans="1:23" x14ac:dyDescent="0.3">
      <c r="A245">
        <v>500</v>
      </c>
      <c r="B245">
        <v>152.44270280000001</v>
      </c>
      <c r="C245">
        <v>73.488908480000006</v>
      </c>
      <c r="D245">
        <v>14.60922207</v>
      </c>
      <c r="E245">
        <v>40.544144639999999</v>
      </c>
      <c r="F245">
        <v>29.627203680000001</v>
      </c>
      <c r="G245">
        <v>45.99258682</v>
      </c>
      <c r="H245">
        <v>25.630791349999999</v>
      </c>
      <c r="I245">
        <v>90.416581570000005</v>
      </c>
      <c r="J245">
        <v>59.78145207</v>
      </c>
      <c r="K245" t="s">
        <v>4</v>
      </c>
      <c r="L245">
        <v>13.7</v>
      </c>
      <c r="M245">
        <v>1</v>
      </c>
      <c r="N245">
        <f>LN(1+Table1[[#This Row],[Redness]])</f>
        <v>5.0333272256828065</v>
      </c>
      <c r="O245">
        <f>LN(1+Table1[[#This Row],[Greeness]])</f>
        <v>4.3106502348387794</v>
      </c>
      <c r="P245">
        <f>LN(1+Table1[[#This Row],[Blueness]])</f>
        <v>2.7478618979235705</v>
      </c>
      <c r="Q245">
        <f>LN(1+Table1[[#This Row],[L* lab]])</f>
        <v>3.7267565881458165</v>
      </c>
      <c r="R245">
        <f>LN(1+Table1[[#This Row],[a* lab]]+128)</f>
        <v>5.0665568183257603</v>
      </c>
      <c r="S245">
        <f>LN(1+Table1[[#This Row],[b* lab]]+128)</f>
        <v>5.1647436119976886</v>
      </c>
      <c r="T245">
        <f>LN(1+Table1[[#This Row],[Hue]])</f>
        <v>3.2820681158694818</v>
      </c>
      <c r="U245">
        <f>LN(1+Table1[[#This Row],[Saturation]])</f>
        <v>4.5154268796207981</v>
      </c>
      <c r="V245">
        <f>LN(1+Table1[[#This Row],[Value]])</f>
        <v>4.1072846777922809</v>
      </c>
      <c r="W245" t="s">
        <v>26</v>
      </c>
    </row>
    <row r="246" spans="1:23" x14ac:dyDescent="0.3">
      <c r="A246">
        <v>500</v>
      </c>
      <c r="B246">
        <v>153.68274999716999</v>
      </c>
      <c r="C246">
        <v>74.948333155661302</v>
      </c>
      <c r="D246">
        <v>16.0569704021901</v>
      </c>
      <c r="E246">
        <v>41.062792971261302</v>
      </c>
      <c r="F246">
        <v>29.3930049379777</v>
      </c>
      <c r="G246">
        <v>46.005583106865103</v>
      </c>
      <c r="H246">
        <v>25.674563120419499</v>
      </c>
      <c r="I246">
        <v>89.551872020453899</v>
      </c>
      <c r="J246">
        <v>60.267745096929502</v>
      </c>
      <c r="K246" t="s">
        <v>4</v>
      </c>
      <c r="L246">
        <v>13.7</v>
      </c>
      <c r="M246">
        <v>1</v>
      </c>
      <c r="N246">
        <f>LN(1+Table1[[#This Row],[Redness]])</f>
        <v>5.0413762452025352</v>
      </c>
      <c r="O246">
        <f>LN(1+Table1[[#This Row],[Greeness]])</f>
        <v>4.3300532822000468</v>
      </c>
      <c r="P246">
        <f>LN(1+Table1[[#This Row],[Blueness]])</f>
        <v>2.8365589414277119</v>
      </c>
      <c r="Q246">
        <f>LN(1+Table1[[#This Row],[L* lab]])</f>
        <v>3.7391635725221177</v>
      </c>
      <c r="R246">
        <f>LN(1+Table1[[#This Row],[a* lab]]+128)</f>
        <v>5.0650793176601212</v>
      </c>
      <c r="S246">
        <f>LN(1+Table1[[#This Row],[b* lab]]+128)</f>
        <v>5.1648178768824096</v>
      </c>
      <c r="T246">
        <f>LN(1+Table1[[#This Row],[Hue]])</f>
        <v>3.2837104191875128</v>
      </c>
      <c r="U246">
        <f>LN(1+Table1[[#This Row],[Saturation]])</f>
        <v>4.5059228580025668</v>
      </c>
      <c r="V246">
        <f>LN(1+Table1[[#This Row],[Value]])</f>
        <v>4.1152535233335348</v>
      </c>
    </row>
    <row r="247" spans="1:23" x14ac:dyDescent="0.3">
      <c r="A247">
        <v>500</v>
      </c>
      <c r="B247">
        <v>152.47697777497001</v>
      </c>
      <c r="C247">
        <v>73.582205684915195</v>
      </c>
      <c r="D247">
        <v>14.352213900043701</v>
      </c>
      <c r="E247">
        <v>40.570114842162802</v>
      </c>
      <c r="F247">
        <v>29.585348788959799</v>
      </c>
      <c r="G247">
        <v>46.115811036573199</v>
      </c>
      <c r="H247">
        <v>25.728909193360099</v>
      </c>
      <c r="I247">
        <v>90.587291203249606</v>
      </c>
      <c r="J247">
        <v>59.7948932450863</v>
      </c>
      <c r="K247" t="s">
        <v>4</v>
      </c>
      <c r="L247">
        <v>13.7</v>
      </c>
      <c r="M247">
        <v>1</v>
      </c>
      <c r="N247">
        <f>LN(1+Table1[[#This Row],[Redness]])</f>
        <v>5.0335505738568189</v>
      </c>
      <c r="O247">
        <f>LN(1+Table1[[#This Row],[Greeness]])</f>
        <v>4.3119019490641577</v>
      </c>
      <c r="P247">
        <f>LN(1+Table1[[#This Row],[Blueness]])</f>
        <v>2.731259691649222</v>
      </c>
      <c r="Q247">
        <f>LN(1+Table1[[#This Row],[L* lab]])</f>
        <v>3.7273815158819184</v>
      </c>
      <c r="R247">
        <f>LN(1+Table1[[#This Row],[a* lab]]+128)</f>
        <v>5.0662929265537775</v>
      </c>
      <c r="S247">
        <f>LN(1+Table1[[#This Row],[b* lab]]+128)</f>
        <v>5.1654475323972893</v>
      </c>
      <c r="T247">
        <f>LN(1+Table1[[#This Row],[Hue]])</f>
        <v>3.2857457209889307</v>
      </c>
      <c r="U247">
        <f>LN(1+Table1[[#This Row],[Saturation]])</f>
        <v>4.5172925197318756</v>
      </c>
      <c r="V247">
        <f>LN(1+Table1[[#This Row],[Value]])</f>
        <v>4.1075057927650374</v>
      </c>
    </row>
    <row r="248" spans="1:23" x14ac:dyDescent="0.3">
      <c r="A248">
        <v>500</v>
      </c>
      <c r="B248">
        <v>151.90579999720299</v>
      </c>
      <c r="C248">
        <v>73.030583586667802</v>
      </c>
      <c r="D248">
        <v>13.732694355187</v>
      </c>
      <c r="E248">
        <v>40.358413588234598</v>
      </c>
      <c r="F248">
        <v>29.6289332140509</v>
      </c>
      <c r="G248">
        <v>46.117161809938203</v>
      </c>
      <c r="H248">
        <v>25.749391224560799</v>
      </c>
      <c r="I248">
        <v>90.959730072558202</v>
      </c>
      <c r="J248">
        <v>59.570901959687397</v>
      </c>
      <c r="K248" t="s">
        <v>4</v>
      </c>
      <c r="L248">
        <v>13.7</v>
      </c>
      <c r="M248">
        <v>1</v>
      </c>
      <c r="N248">
        <f>LN(1+Table1[[#This Row],[Redness]])</f>
        <v>5.0298220454870073</v>
      </c>
      <c r="O248">
        <f>LN(1+Table1[[#This Row],[Greeness]])</f>
        <v>4.3044782995344013</v>
      </c>
      <c r="P248">
        <f>LN(1+Table1[[#This Row],[Blueness]])</f>
        <v>2.6900691299176129</v>
      </c>
      <c r="Q248">
        <f>LN(1+Table1[[#This Row],[L* lab]])</f>
        <v>3.7222758732806733</v>
      </c>
      <c r="R248">
        <f>LN(1+Table1[[#This Row],[a* lab]]+128)</f>
        <v>5.0665677214027998</v>
      </c>
      <c r="S248">
        <f>LN(1+Table1[[#This Row],[b* lab]]+128)</f>
        <v>5.1654552459677969</v>
      </c>
      <c r="T248">
        <f>LN(1+Table1[[#This Row],[Hue]])</f>
        <v>3.2865117151227055</v>
      </c>
      <c r="U248">
        <f>LN(1+Table1[[#This Row],[Saturation]])</f>
        <v>4.5213507646205358</v>
      </c>
      <c r="V248">
        <f>LN(1+Table1[[#This Row],[Value]])</f>
        <v>4.1038146120770866</v>
      </c>
    </row>
    <row r="249" spans="1:23" x14ac:dyDescent="0.3">
      <c r="A249">
        <v>500</v>
      </c>
      <c r="B249">
        <v>154.11291110827301</v>
      </c>
      <c r="C249">
        <v>75.641427444335505</v>
      </c>
      <c r="D249">
        <v>15.063331406229601</v>
      </c>
      <c r="E249">
        <v>41.275701443965403</v>
      </c>
      <c r="F249">
        <v>29.1775598641957</v>
      </c>
      <c r="G249">
        <v>46.541741346803299</v>
      </c>
      <c r="H249">
        <v>26.139494776429899</v>
      </c>
      <c r="I249">
        <v>90.225782319012296</v>
      </c>
      <c r="J249">
        <v>60.4364357287347</v>
      </c>
      <c r="K249" t="s">
        <v>4</v>
      </c>
      <c r="L249">
        <v>13.7</v>
      </c>
      <c r="M249">
        <v>1</v>
      </c>
      <c r="N249">
        <f>LN(1+Table1[[#This Row],[Redness]])</f>
        <v>5.0441533104849956</v>
      </c>
      <c r="O249">
        <f>LN(1+Table1[[#This Row],[Greeness]])</f>
        <v>4.339137758806686</v>
      </c>
      <c r="P249">
        <f>LN(1+Table1[[#This Row],[Blueness]])</f>
        <v>2.7765391220150191</v>
      </c>
      <c r="Q249">
        <f>LN(1+Table1[[#This Row],[L* lab]])</f>
        <v>3.7442124870530331</v>
      </c>
      <c r="R249">
        <f>LN(1+Table1[[#This Row],[a* lab]]+128)</f>
        <v>5.0637181986490809</v>
      </c>
      <c r="S249">
        <f>LN(1+Table1[[#This Row],[b* lab]]+128)</f>
        <v>5.1678768570578208</v>
      </c>
      <c r="T249">
        <f>LN(1+Table1[[#This Row],[Hue]])</f>
        <v>3.3009900387739801</v>
      </c>
      <c r="U249">
        <f>LN(1+Table1[[#This Row],[Saturation]])</f>
        <v>4.513337557994288</v>
      </c>
      <c r="V249">
        <f>LN(1+Table1[[#This Row],[Value]])</f>
        <v>4.1180030749290166</v>
      </c>
    </row>
    <row r="250" spans="1:23" x14ac:dyDescent="0.3">
      <c r="A250">
        <v>500</v>
      </c>
      <c r="B250">
        <v>154.23977777493701</v>
      </c>
      <c r="C250">
        <v>75.773138525845098</v>
      </c>
      <c r="D250">
        <v>15.106685996854001</v>
      </c>
      <c r="E250">
        <v>41.324431269335498</v>
      </c>
      <c r="F250">
        <v>29.1610064370952</v>
      </c>
      <c r="G250">
        <v>46.571386256349697</v>
      </c>
      <c r="H250">
        <v>26.161908035115101</v>
      </c>
      <c r="I250">
        <v>90.205713328440297</v>
      </c>
      <c r="J250">
        <v>60.486187362720699</v>
      </c>
      <c r="K250" t="s">
        <v>4</v>
      </c>
      <c r="L250">
        <v>13.7</v>
      </c>
      <c r="M250">
        <v>1</v>
      </c>
      <c r="N250">
        <f>LN(1+Table1[[#This Row],[Redness]])</f>
        <v>5.0449708750061033</v>
      </c>
      <c r="O250">
        <f>LN(1+Table1[[#This Row],[Greeness]])</f>
        <v>4.3408548201957009</v>
      </c>
      <c r="P250">
        <f>LN(1+Table1[[#This Row],[Blueness]])</f>
        <v>2.7792344650935328</v>
      </c>
      <c r="Q250">
        <f>LN(1+Table1[[#This Row],[L* lab]])</f>
        <v>3.7453644907011689</v>
      </c>
      <c r="R250">
        <f>LN(1+Table1[[#This Row],[a* lab]]+128)</f>
        <v>5.0636135422531874</v>
      </c>
      <c r="S250">
        <f>LN(1+Table1[[#This Row],[b* lab]]+128)</f>
        <v>5.1680457194972247</v>
      </c>
      <c r="T250">
        <f>LN(1+Table1[[#This Row],[Hue]])</f>
        <v>3.3018155518840491</v>
      </c>
      <c r="U250">
        <f>LN(1+Table1[[#This Row],[Saturation]])</f>
        <v>4.5131175412632762</v>
      </c>
      <c r="V250">
        <f>LN(1+Table1[[#This Row],[Value]])</f>
        <v>4.1188125538589562</v>
      </c>
    </row>
    <row r="251" spans="1:23" x14ac:dyDescent="0.3">
      <c r="A251">
        <v>500</v>
      </c>
      <c r="B251">
        <v>153.102199997181</v>
      </c>
      <c r="C251">
        <v>74.876049838573294</v>
      </c>
      <c r="D251">
        <v>13.5541649953327</v>
      </c>
      <c r="E251">
        <v>40.944946433990999</v>
      </c>
      <c r="F251">
        <v>29.132175647044502</v>
      </c>
      <c r="G251">
        <v>46.713973436414101</v>
      </c>
      <c r="H251">
        <v>26.365925471796899</v>
      </c>
      <c r="I251">
        <v>91.146982214767405</v>
      </c>
      <c r="J251">
        <v>60.040078430267002</v>
      </c>
      <c r="K251" t="s">
        <v>4</v>
      </c>
      <c r="L251">
        <v>13.7</v>
      </c>
      <c r="M251">
        <v>1</v>
      </c>
      <c r="N251">
        <f>LN(1+Table1[[#This Row],[Redness]])</f>
        <v>5.0376160186497376</v>
      </c>
      <c r="O251">
        <f>LN(1+Table1[[#This Row],[Greeness]])</f>
        <v>4.3291010857066521</v>
      </c>
      <c r="P251">
        <f>LN(1+Table1[[#This Row],[Blueness]])</f>
        <v>2.6778772066294056</v>
      </c>
      <c r="Q251">
        <f>LN(1+Table1[[#This Row],[L* lab]])</f>
        <v>3.7363579592439438</v>
      </c>
      <c r="R251">
        <f>LN(1+Table1[[#This Row],[a* lab]]+128)</f>
        <v>5.0634312380382145</v>
      </c>
      <c r="S251">
        <f>LN(1+Table1[[#This Row],[b* lab]]+128)</f>
        <v>5.1688575221184312</v>
      </c>
      <c r="T251">
        <f>LN(1+Table1[[#This Row],[Hue]])</f>
        <v>3.3092986435671126</v>
      </c>
      <c r="U251">
        <f>LN(1+Table1[[#This Row],[Saturation]])</f>
        <v>4.5233849349606743</v>
      </c>
      <c r="V251">
        <f>LN(1+Table1[[#This Row],[Value]])</f>
        <v>4.1115306718749007</v>
      </c>
    </row>
    <row r="252" spans="1:23" x14ac:dyDescent="0.3">
      <c r="A252">
        <v>500</v>
      </c>
      <c r="B252">
        <v>153.93497777494301</v>
      </c>
      <c r="C252">
        <v>75.731582979628996</v>
      </c>
      <c r="D252">
        <v>14.341414140411</v>
      </c>
      <c r="E252">
        <v>41.2642866199606</v>
      </c>
      <c r="F252">
        <v>29.037848870465002</v>
      </c>
      <c r="G252">
        <v>46.761565197536299</v>
      </c>
      <c r="H252">
        <v>26.386675964491801</v>
      </c>
      <c r="I252">
        <v>90.683459764824505</v>
      </c>
      <c r="J252">
        <v>60.366657950958199</v>
      </c>
      <c r="K252" t="s">
        <v>4</v>
      </c>
      <c r="L252">
        <v>13.7</v>
      </c>
      <c r="M252">
        <v>1</v>
      </c>
      <c r="N252">
        <f>LN(1+Table1[[#This Row],[Redness]])</f>
        <v>5.0430055306790766</v>
      </c>
      <c r="O252">
        <f>LN(1+Table1[[#This Row],[Greeness]])</f>
        <v>4.340313396494544</v>
      </c>
      <c r="P252">
        <f>LN(1+Table1[[#This Row],[Blueness]])</f>
        <v>2.7305559781576694</v>
      </c>
      <c r="Q252">
        <f>LN(1+Table1[[#This Row],[L* lab]])</f>
        <v>3.7439424414962361</v>
      </c>
      <c r="R252">
        <f>LN(1+Table1[[#This Row],[a* lab]]+128)</f>
        <v>5.0628345541525617</v>
      </c>
      <c r="S252">
        <f>LN(1+Table1[[#This Row],[b* lab]]+128)</f>
        <v>5.1691283333481293</v>
      </c>
      <c r="T252">
        <f>LN(1+Table1[[#This Row],[Hue]])</f>
        <v>3.3100566164540268</v>
      </c>
      <c r="U252">
        <f>LN(1+Table1[[#This Row],[Saturation]])</f>
        <v>4.51834198965431</v>
      </c>
      <c r="V252">
        <f>LN(1+Table1[[#This Row],[Value]])</f>
        <v>4.1168666575441586</v>
      </c>
    </row>
    <row r="253" spans="1:23" x14ac:dyDescent="0.3">
      <c r="A253">
        <v>500</v>
      </c>
      <c r="B253">
        <v>154.1972389</v>
      </c>
      <c r="C253">
        <v>75.656288549999999</v>
      </c>
      <c r="D253">
        <v>13.305520530000001</v>
      </c>
      <c r="E253">
        <v>41.28047196</v>
      </c>
      <c r="F253">
        <v>29.170181360000001</v>
      </c>
      <c r="G253">
        <v>47.108960979999999</v>
      </c>
      <c r="H253">
        <v>26.552632939999999</v>
      </c>
      <c r="I253">
        <v>91.371103250000004</v>
      </c>
      <c r="J253">
        <v>60.46950545</v>
      </c>
      <c r="K253" t="s">
        <v>4</v>
      </c>
      <c r="L253">
        <v>13.7</v>
      </c>
      <c r="M253">
        <v>1</v>
      </c>
      <c r="N253">
        <f>LN(1+Table1[[#This Row],[Redness]])</f>
        <v>5.0446968169980808</v>
      </c>
      <c r="O253">
        <f>LN(1+Table1[[#This Row],[Greeness]])</f>
        <v>4.3393316443530514</v>
      </c>
      <c r="P253">
        <f>LN(1+Table1[[#This Row],[Blueness]])</f>
        <v>2.6606455138162795</v>
      </c>
      <c r="Q253">
        <f>LN(1+Table1[[#This Row],[L* lab]])</f>
        <v>3.7443253236644267</v>
      </c>
      <c r="R253">
        <f>LN(1+Table1[[#This Row],[a* lab]]+128)</f>
        <v>5.0636715505891425</v>
      </c>
      <c r="S253">
        <f>LN(1+Table1[[#This Row],[b* lab]]+128)</f>
        <v>5.1711028999542599</v>
      </c>
      <c r="T253">
        <f>LN(1+Table1[[#This Row],[Hue]])</f>
        <v>3.3160981005424306</v>
      </c>
      <c r="U253">
        <f>LN(1+Table1[[#This Row],[Saturation]])</f>
        <v>4.5258141943461183</v>
      </c>
      <c r="V253">
        <f>LN(1+Table1[[#This Row],[Value]])</f>
        <v>4.11854120549856</v>
      </c>
      <c r="W253" t="s">
        <v>26</v>
      </c>
    </row>
    <row r="254" spans="1:23" x14ac:dyDescent="0.3">
      <c r="A254">
        <v>500</v>
      </c>
      <c r="B254">
        <v>161.92691110812899</v>
      </c>
      <c r="C254">
        <v>80.926892923114906</v>
      </c>
      <c r="D254">
        <v>15.926556638106799</v>
      </c>
      <c r="E254">
        <v>43.634803796846199</v>
      </c>
      <c r="F254">
        <v>29.644319588561199</v>
      </c>
      <c r="G254">
        <v>48.617660904393802</v>
      </c>
      <c r="H254">
        <v>26.712402112018498</v>
      </c>
      <c r="I254">
        <v>90.164354689955402</v>
      </c>
      <c r="J254">
        <v>63.5007494541684</v>
      </c>
      <c r="K254" t="s">
        <v>4</v>
      </c>
      <c r="L254">
        <v>13.7</v>
      </c>
      <c r="M254">
        <v>1</v>
      </c>
      <c r="N254">
        <f>LN(1+Table1[[#This Row],[Redness]])</f>
        <v>5.09330170213663</v>
      </c>
      <c r="O254">
        <f>LN(1+Table1[[#This Row],[Greeness]])</f>
        <v>4.4058272998793147</v>
      </c>
      <c r="P254">
        <f>LN(1+Table1[[#This Row],[Blueness]])</f>
        <v>2.8288837872785204</v>
      </c>
      <c r="Q254">
        <f>LN(1+Table1[[#This Row],[L* lab]])</f>
        <v>3.7985139088973714</v>
      </c>
      <c r="R254">
        <f>LN(1+Table1[[#This Row],[a* lab]]+128)</f>
        <v>5.0666647127147773</v>
      </c>
      <c r="S254">
        <f>LN(1+Table1[[#This Row],[b* lab]]+128)</f>
        <v>5.1796332676432835</v>
      </c>
      <c r="T254">
        <f>LN(1+Table1[[#This Row],[Hue]])</f>
        <v>3.3218800426680271</v>
      </c>
      <c r="U254">
        <f>LN(1+Table1[[#This Row],[Saturation]])</f>
        <v>4.5126639729815592</v>
      </c>
      <c r="V254">
        <f>LN(1+Table1[[#This Row],[Value]])</f>
        <v>4.1666768431786929</v>
      </c>
    </row>
    <row r="255" spans="1:23" x14ac:dyDescent="0.3">
      <c r="A255">
        <v>500</v>
      </c>
      <c r="B255">
        <v>165.674288885838</v>
      </c>
      <c r="C255">
        <v>84.674269858684696</v>
      </c>
      <c r="D255">
        <v>19.6738510133811</v>
      </c>
      <c r="E255">
        <v>45.038374536322401</v>
      </c>
      <c r="F255">
        <v>29.2869780851101</v>
      </c>
      <c r="G255">
        <v>48.706762517582398</v>
      </c>
      <c r="H255">
        <v>26.712420781403299</v>
      </c>
      <c r="I255">
        <v>88.124982370114196</v>
      </c>
      <c r="J255">
        <v>64.970309366995394</v>
      </c>
      <c r="K255" t="s">
        <v>4</v>
      </c>
      <c r="L255">
        <v>13.7</v>
      </c>
      <c r="M255">
        <v>1</v>
      </c>
      <c r="N255">
        <f>LN(1+Table1[[#This Row],[Redness]])</f>
        <v>5.1160415420233738</v>
      </c>
      <c r="O255">
        <f>LN(1+Table1[[#This Row],[Greeness]])</f>
        <v>4.4505525455029948</v>
      </c>
      <c r="P255">
        <f>LN(1+Table1[[#This Row],[Blueness]])</f>
        <v>3.0288696656475151</v>
      </c>
      <c r="Q255">
        <f>LN(1+Table1[[#This Row],[L* lab]])</f>
        <v>3.8294752777639305</v>
      </c>
      <c r="R255">
        <f>LN(1+Table1[[#This Row],[a* lab]]+128)</f>
        <v>5.0644097025122532</v>
      </c>
      <c r="S255">
        <f>LN(1+Table1[[#This Row],[b* lab]]+128)</f>
        <v>5.1801347902473198</v>
      </c>
      <c r="T255">
        <f>LN(1+Table1[[#This Row],[Hue]])</f>
        <v>3.321880716351183</v>
      </c>
      <c r="U255">
        <f>LN(1+Table1[[#This Row],[Saturation]])</f>
        <v>4.49003968092366</v>
      </c>
      <c r="V255">
        <f>LN(1+Table1[[#This Row],[Value]])</f>
        <v>4.1892047827340972</v>
      </c>
    </row>
    <row r="256" spans="1:23" x14ac:dyDescent="0.3">
      <c r="A256">
        <v>500</v>
      </c>
      <c r="B256">
        <v>166.04666666360899</v>
      </c>
      <c r="C256">
        <v>86.590824983502102</v>
      </c>
      <c r="D256">
        <v>20.818292208533901</v>
      </c>
      <c r="E256">
        <v>45.521730965660602</v>
      </c>
      <c r="F256">
        <v>28.434152458905</v>
      </c>
      <c r="G256">
        <v>48.706721622680597</v>
      </c>
      <c r="H256">
        <v>27.1734224204158</v>
      </c>
      <c r="I256">
        <v>87.462384745904401</v>
      </c>
      <c r="J256">
        <v>65.116339868081994</v>
      </c>
      <c r="K256" t="s">
        <v>4</v>
      </c>
      <c r="L256">
        <v>13.7</v>
      </c>
      <c r="M256">
        <v>1</v>
      </c>
      <c r="N256">
        <f>LN(1+Table1[[#This Row],[Redness]])</f>
        <v>5.1182732144798182</v>
      </c>
      <c r="O256">
        <f>LN(1+Table1[[#This Row],[Greeness]])</f>
        <v>4.4726762548257222</v>
      </c>
      <c r="P256">
        <f>LN(1+Table1[[#This Row],[Blueness]])</f>
        <v>3.0827487100886248</v>
      </c>
      <c r="Q256">
        <f>LN(1+Table1[[#This Row],[L* lab]])</f>
        <v>3.8399195360222951</v>
      </c>
      <c r="R256">
        <f>LN(1+Table1[[#This Row],[a* lab]]+128)</f>
        <v>5.0590072912200341</v>
      </c>
      <c r="S256">
        <f>LN(1+Table1[[#This Row],[b* lab]]+128)</f>
        <v>5.1801345601215445</v>
      </c>
      <c r="T256">
        <f>LN(1+Table1[[#This Row],[Hue]])</f>
        <v>3.338379066181318</v>
      </c>
      <c r="U256">
        <f>LN(1+Table1[[#This Row],[Saturation]])</f>
        <v>4.4825774305428308</v>
      </c>
      <c r="V256">
        <f>LN(1+Table1[[#This Row],[Value]])</f>
        <v>4.1914159155235025</v>
      </c>
    </row>
    <row r="257" spans="1:23" x14ac:dyDescent="0.3">
      <c r="A257">
        <v>500</v>
      </c>
      <c r="B257">
        <v>165.32233333028901</v>
      </c>
      <c r="C257">
        <v>85.879291810083004</v>
      </c>
      <c r="D257">
        <v>20.100374853690301</v>
      </c>
      <c r="E257">
        <v>45.253583217877903</v>
      </c>
      <c r="F257">
        <v>28.492339138360499</v>
      </c>
      <c r="G257">
        <v>48.714175426238</v>
      </c>
      <c r="H257">
        <v>27.177260648358001</v>
      </c>
      <c r="I257">
        <v>87.841706290502898</v>
      </c>
      <c r="J257">
        <v>64.832287580505593</v>
      </c>
      <c r="K257" t="s">
        <v>4</v>
      </c>
      <c r="L257">
        <v>13.7</v>
      </c>
      <c r="M257">
        <v>1</v>
      </c>
      <c r="N257">
        <f>LN(1+Table1[[#This Row],[Redness]])</f>
        <v>5.1139276726137419</v>
      </c>
      <c r="O257">
        <f>LN(1+Table1[[#This Row],[Greeness]])</f>
        <v>4.4645197047951628</v>
      </c>
      <c r="P257">
        <f>LN(1+Table1[[#This Row],[Blueness]])</f>
        <v>3.0492908059019541</v>
      </c>
      <c r="Q257">
        <f>LN(1+Table1[[#This Row],[L* lab]])</f>
        <v>3.8341389359385465</v>
      </c>
      <c r="R257">
        <f>LN(1+Table1[[#This Row],[a* lab]]+128)</f>
        <v>5.0593768166913433</v>
      </c>
      <c r="S257">
        <f>LN(1+Table1[[#This Row],[b* lab]]+128)</f>
        <v>5.1801765036517109</v>
      </c>
      <c r="T257">
        <f>LN(1+Table1[[#This Row],[Hue]])</f>
        <v>3.338515292673673</v>
      </c>
      <c r="U257">
        <f>LN(1+Table1[[#This Row],[Saturation]])</f>
        <v>4.4868562051734271</v>
      </c>
      <c r="V257">
        <f>LN(1+Table1[[#This Row],[Value]])</f>
        <v>4.1871104106938217</v>
      </c>
    </row>
    <row r="258" spans="1:23" x14ac:dyDescent="0.3">
      <c r="A258">
        <v>600</v>
      </c>
      <c r="B258">
        <v>151.44975555276599</v>
      </c>
      <c r="C258">
        <v>61.020052952653302</v>
      </c>
      <c r="D258">
        <v>17.221816698747599</v>
      </c>
      <c r="E258">
        <v>37.851777258630598</v>
      </c>
      <c r="F258">
        <v>35.782570471615401</v>
      </c>
      <c r="G258">
        <v>42.842205182379601</v>
      </c>
      <c r="H258">
        <v>19.577847932927899</v>
      </c>
      <c r="I258">
        <v>88.628692970885993</v>
      </c>
      <c r="J258">
        <v>59.392061001084997</v>
      </c>
      <c r="K258" t="s">
        <v>4</v>
      </c>
      <c r="L258">
        <v>16.440000000000001</v>
      </c>
      <c r="M258">
        <v>1</v>
      </c>
      <c r="N258">
        <f>LN(1+Table1[[#This Row],[Redness]])</f>
        <v>5.0268350699745721</v>
      </c>
      <c r="O258">
        <f>LN(1+Table1[[#This Row],[Greeness]])</f>
        <v>4.1274577674715722</v>
      </c>
      <c r="P258">
        <f>LN(1+Table1[[#This Row],[Blueness]])</f>
        <v>2.9026195959033254</v>
      </c>
      <c r="Q258">
        <f>LN(1+Table1[[#This Row],[L* lab]])</f>
        <v>3.6597538224502073</v>
      </c>
      <c r="R258">
        <f>LN(1+Table1[[#This Row],[a* lab]]+128)</f>
        <v>5.1046268501808454</v>
      </c>
      <c r="S258">
        <f>LN(1+Table1[[#This Row],[b* lab]]+128)</f>
        <v>5.1465766440034049</v>
      </c>
      <c r="T258">
        <f>LN(1+Table1[[#This Row],[Hue]])</f>
        <v>3.0242151541376026</v>
      </c>
      <c r="U258">
        <f>LN(1+Table1[[#This Row],[Saturation]])</f>
        <v>4.4956755027669724</v>
      </c>
      <c r="V258">
        <f>LN(1+Table1[[#This Row],[Value]])</f>
        <v>4.1008576559223382</v>
      </c>
    </row>
    <row r="259" spans="1:23" x14ac:dyDescent="0.3">
      <c r="A259">
        <v>600</v>
      </c>
      <c r="B259">
        <v>144.32669440000001</v>
      </c>
      <c r="C259">
        <v>63.291569109999998</v>
      </c>
      <c r="D259">
        <v>23.160667849999999</v>
      </c>
      <c r="E259">
        <v>37.134349839999999</v>
      </c>
      <c r="F259">
        <v>31.91282219</v>
      </c>
      <c r="G259">
        <v>39.127995929999997</v>
      </c>
      <c r="H259">
        <v>19.872353189999998</v>
      </c>
      <c r="I259">
        <v>83.952609780000003</v>
      </c>
      <c r="J259">
        <v>56.598703700000002</v>
      </c>
      <c r="K259" t="s">
        <v>4</v>
      </c>
      <c r="L259" s="3">
        <v>16.440000000000001</v>
      </c>
      <c r="M259">
        <v>1</v>
      </c>
      <c r="N259">
        <f>LN(1+Table1[[#This Row],[Redness]])</f>
        <v>4.9789842729035829</v>
      </c>
      <c r="O259">
        <f>LN(1+Table1[[#This Row],[Greeness]])</f>
        <v>4.1634285046064168</v>
      </c>
      <c r="P259">
        <f>LN(1+Table1[[#This Row],[Blueness]])</f>
        <v>3.1847260154825725</v>
      </c>
      <c r="Q259">
        <f>LN(1+Table1[[#This Row],[L* lab]])</f>
        <v>3.6411154465656623</v>
      </c>
      <c r="R259">
        <f>LN(1+Table1[[#This Row],[a* lab]]+128)</f>
        <v>5.0808627412520613</v>
      </c>
      <c r="S259">
        <f>LN(1+Table1[[#This Row],[b* lab]]+128)</f>
        <v>5.124725569855328</v>
      </c>
      <c r="T259">
        <f>LN(1+Table1[[#This Row],[Hue]])</f>
        <v>3.0384254694045567</v>
      </c>
      <c r="U259">
        <f>LN(1+Table1[[#This Row],[Saturation]])</f>
        <v>4.4420935690115586</v>
      </c>
      <c r="V259">
        <f>LN(1+Table1[[#This Row],[Value]])</f>
        <v>4.0535000622402659</v>
      </c>
      <c r="W259" t="s">
        <v>26</v>
      </c>
    </row>
    <row r="260" spans="1:23" x14ac:dyDescent="0.3">
      <c r="A260">
        <v>600</v>
      </c>
      <c r="B260">
        <v>144.85766670000001</v>
      </c>
      <c r="C260">
        <v>63.862541200000003</v>
      </c>
      <c r="D260">
        <v>23.172884249999999</v>
      </c>
      <c r="E260">
        <v>37.340096369999998</v>
      </c>
      <c r="F260">
        <v>31.833276260000002</v>
      </c>
      <c r="G260">
        <v>39.373625109999999</v>
      </c>
      <c r="H260">
        <v>20.063144860000001</v>
      </c>
      <c r="I260">
        <v>84.002997710000002</v>
      </c>
      <c r="J260">
        <v>56.8069281</v>
      </c>
      <c r="K260" t="s">
        <v>4</v>
      </c>
      <c r="L260" s="3">
        <v>16.440000000000001</v>
      </c>
      <c r="M260">
        <v>1</v>
      </c>
      <c r="N260">
        <f>LN(1+Table1[[#This Row],[Redness]])</f>
        <v>4.9826312605818455</v>
      </c>
      <c r="O260">
        <f>LN(1+Table1[[#This Row],[Greeness]])</f>
        <v>4.172270279883481</v>
      </c>
      <c r="P260">
        <f>LN(1+Table1[[#This Row],[Blueness]])</f>
        <v>3.185231519412218</v>
      </c>
      <c r="Q260">
        <f>LN(1+Table1[[#This Row],[L* lab]])</f>
        <v>3.6464962511771981</v>
      </c>
      <c r="R260">
        <f>LN(1+Table1[[#This Row],[a* lab]]+128)</f>
        <v>5.0803682772507646</v>
      </c>
      <c r="S260">
        <f>LN(1+Table1[[#This Row],[b* lab]]+128)</f>
        <v>5.126185469055021</v>
      </c>
      <c r="T260">
        <f>LN(1+Table1[[#This Row],[Hue]])</f>
        <v>3.0475248241424215</v>
      </c>
      <c r="U260">
        <f>LN(1+Table1[[#This Row],[Saturation]])</f>
        <v>4.4426865230449151</v>
      </c>
      <c r="V260">
        <f>LN(1+Table1[[#This Row],[Value]])</f>
        <v>4.0571086318170968</v>
      </c>
      <c r="W260" t="s">
        <v>26</v>
      </c>
    </row>
    <row r="261" spans="1:23" x14ac:dyDescent="0.3">
      <c r="A261">
        <v>600</v>
      </c>
      <c r="B261">
        <v>152.55502221941299</v>
      </c>
      <c r="C261">
        <v>63.5907412637902</v>
      </c>
      <c r="D261">
        <v>18.650251573131001</v>
      </c>
      <c r="E261">
        <v>38.547173988296599</v>
      </c>
      <c r="F261">
        <v>34.961654835808297</v>
      </c>
      <c r="G261">
        <v>42.914117469826301</v>
      </c>
      <c r="H261">
        <v>20.1369179636052</v>
      </c>
      <c r="I261">
        <v>87.774737729507706</v>
      </c>
      <c r="J261">
        <v>59.825498909573803</v>
      </c>
      <c r="K261" t="s">
        <v>4</v>
      </c>
      <c r="L261">
        <v>16.440000000000001</v>
      </c>
      <c r="M261">
        <v>1</v>
      </c>
      <c r="N261">
        <f>LN(1+Table1[[#This Row],[Redness]])</f>
        <v>5.034058953739863</v>
      </c>
      <c r="O261">
        <f>LN(1+Table1[[#This Row],[Greeness]])</f>
        <v>4.1680710764267426</v>
      </c>
      <c r="P261">
        <f>LN(1+Table1[[#This Row],[Blueness]])</f>
        <v>2.978090140937184</v>
      </c>
      <c r="Q261">
        <f>LN(1+Table1[[#This Row],[L* lab]])</f>
        <v>3.6774942375089008</v>
      </c>
      <c r="R261">
        <f>LN(1+Table1[[#This Row],[a* lab]]+128)</f>
        <v>5.099632588509138</v>
      </c>
      <c r="S261">
        <f>LN(1+Table1[[#This Row],[b* lab]]+128)</f>
        <v>5.1469950350772962</v>
      </c>
      <c r="T261">
        <f>LN(1+Table1[[#This Row],[Hue]])</f>
        <v>3.0510211781202234</v>
      </c>
      <c r="U261">
        <f>LN(1+Table1[[#This Row],[Saturation]])</f>
        <v>4.486102124496516</v>
      </c>
      <c r="V261">
        <f>LN(1+Table1[[#This Row],[Value]])</f>
        <v>4.1080090910128284</v>
      </c>
    </row>
    <row r="262" spans="1:23" x14ac:dyDescent="0.3">
      <c r="A262">
        <v>600</v>
      </c>
      <c r="B262">
        <v>149.070288886144</v>
      </c>
      <c r="C262">
        <v>60.7815641173638</v>
      </c>
      <c r="D262">
        <v>15.677939949278</v>
      </c>
      <c r="E262">
        <v>37.388299840415698</v>
      </c>
      <c r="F262">
        <v>34.922056112095902</v>
      </c>
      <c r="G262">
        <v>42.898310403401702</v>
      </c>
      <c r="H262">
        <v>20.287651215782901</v>
      </c>
      <c r="I262">
        <v>89.482853983564397</v>
      </c>
      <c r="J262">
        <v>58.458936818095701</v>
      </c>
      <c r="K262" t="s">
        <v>4</v>
      </c>
      <c r="L262">
        <v>16.440000000000001</v>
      </c>
      <c r="M262">
        <v>1</v>
      </c>
      <c r="N262">
        <f>LN(1+Table1[[#This Row],[Redness]])</f>
        <v>5.0111037769153342</v>
      </c>
      <c r="O262">
        <f>LN(1+Table1[[#This Row],[Greeness]])</f>
        <v>4.1236050047057855</v>
      </c>
      <c r="P262">
        <f>LN(1+Table1[[#This Row],[Blueness]])</f>
        <v>2.814086885063396</v>
      </c>
      <c r="Q262">
        <f>LN(1+Table1[[#This Row],[L* lab]])</f>
        <v>3.6477527215099061</v>
      </c>
      <c r="R262">
        <f>LN(1+Table1[[#This Row],[a* lab]]+128)</f>
        <v>5.09939104723958</v>
      </c>
      <c r="S262">
        <f>LN(1+Table1[[#This Row],[b* lab]]+128)</f>
        <v>5.1469030833899563</v>
      </c>
      <c r="T262">
        <f>LN(1+Table1[[#This Row],[Hue]])</f>
        <v>3.0581271494648288</v>
      </c>
      <c r="U262">
        <f>LN(1+Table1[[#This Row],[Saturation]])</f>
        <v>4.5051603740111608</v>
      </c>
      <c r="V262">
        <f>LN(1+Table1[[#This Row],[Value]])</f>
        <v>4.0852859367860699</v>
      </c>
    </row>
    <row r="263" spans="1:23" x14ac:dyDescent="0.3">
      <c r="A263">
        <v>600</v>
      </c>
      <c r="B263">
        <v>150.36228888612001</v>
      </c>
      <c r="C263">
        <v>62.226808236995403</v>
      </c>
      <c r="D263">
        <v>16.036954181018899</v>
      </c>
      <c r="E263">
        <v>37.8932352392981</v>
      </c>
      <c r="F263">
        <v>34.7140788839706</v>
      </c>
      <c r="G263">
        <v>43.267949249427403</v>
      </c>
      <c r="H263">
        <v>20.631932534863299</v>
      </c>
      <c r="I263">
        <v>89.334457263306902</v>
      </c>
      <c r="J263">
        <v>58.965603484752997</v>
      </c>
      <c r="K263" t="s">
        <v>4</v>
      </c>
      <c r="L263">
        <v>16.440000000000001</v>
      </c>
      <c r="M263">
        <v>1</v>
      </c>
      <c r="N263">
        <f>LN(1+Table1[[#This Row],[Redness]])</f>
        <v>5.0196762273226865</v>
      </c>
      <c r="O263">
        <f>LN(1+Table1[[#This Row],[Greeness]])</f>
        <v>4.1467283921786162</v>
      </c>
      <c r="P263">
        <f>LN(1+Table1[[#This Row],[Blueness]])</f>
        <v>2.8353847601789646</v>
      </c>
      <c r="Q263">
        <f>LN(1+Table1[[#This Row],[L* lab]])</f>
        <v>3.6608203341984251</v>
      </c>
      <c r="R263">
        <f>LN(1+Table1[[#This Row],[a* lab]]+128)</f>
        <v>5.0981214848571375</v>
      </c>
      <c r="S263">
        <f>LN(1+Table1[[#This Row],[b* lab]]+128)</f>
        <v>5.1490511091059297</v>
      </c>
      <c r="T263">
        <f>LN(1+Table1[[#This Row],[Hue]])</f>
        <v>3.0741705810901254</v>
      </c>
      <c r="U263">
        <f>LN(1+Table1[[#This Row],[Saturation]])</f>
        <v>4.5035189741634172</v>
      </c>
      <c r="V263">
        <f>LN(1+Table1[[#This Row],[Value]])</f>
        <v>4.093771122582897</v>
      </c>
    </row>
    <row r="264" spans="1:23" x14ac:dyDescent="0.3">
      <c r="A264">
        <v>600</v>
      </c>
      <c r="B264">
        <v>150.734933330557</v>
      </c>
      <c r="C264">
        <v>62.4655859611089</v>
      </c>
      <c r="D264">
        <v>15.195039585947899</v>
      </c>
      <c r="E264">
        <v>37.999335237273101</v>
      </c>
      <c r="F264">
        <v>34.723256758832598</v>
      </c>
      <c r="G264">
        <v>43.696472150149901</v>
      </c>
      <c r="H264">
        <v>20.925446406604099</v>
      </c>
      <c r="I264">
        <v>89.919364244102795</v>
      </c>
      <c r="J264">
        <v>59.111738561003101</v>
      </c>
      <c r="K264" t="s">
        <v>4</v>
      </c>
      <c r="L264">
        <v>16.440000000000001</v>
      </c>
      <c r="M264">
        <v>1</v>
      </c>
      <c r="N264">
        <f>LN(1+Table1[[#This Row],[Redness]])</f>
        <v>5.0221351388855835</v>
      </c>
      <c r="O264">
        <f>LN(1+Table1[[#This Row],[Greeness]])</f>
        <v>4.150497805620474</v>
      </c>
      <c r="P264">
        <f>LN(1+Table1[[#This Row],[Blueness]])</f>
        <v>2.7847049969517594</v>
      </c>
      <c r="Q264">
        <f>LN(1+Table1[[#This Row],[L* lab]])</f>
        <v>3.66354460078625</v>
      </c>
      <c r="R264">
        <f>LN(1+Table1[[#This Row],[a* lab]]+128)</f>
        <v>5.0981775436742929</v>
      </c>
      <c r="S264">
        <f>LN(1+Table1[[#This Row],[b* lab]]+128)</f>
        <v>5.1515355573247037</v>
      </c>
      <c r="T264">
        <f>LN(1+Table1[[#This Row],[Hue]])</f>
        <v>3.0876478986714555</v>
      </c>
      <c r="U264">
        <f>LN(1+Table1[[#This Row],[Saturation]])</f>
        <v>4.509973006484123</v>
      </c>
      <c r="V264">
        <f>LN(1+Table1[[#This Row],[Value]])</f>
        <v>4.0962051396240433</v>
      </c>
    </row>
    <row r="265" spans="1:23" x14ac:dyDescent="0.3">
      <c r="A265">
        <v>600</v>
      </c>
      <c r="B265">
        <v>147.0192472</v>
      </c>
      <c r="C265">
        <v>65.905454629999994</v>
      </c>
      <c r="D265">
        <v>22.081866860000002</v>
      </c>
      <c r="E265">
        <v>38.111130940000002</v>
      </c>
      <c r="F265">
        <v>31.610803090000001</v>
      </c>
      <c r="G265">
        <v>40.70681742</v>
      </c>
      <c r="H265">
        <v>21.045865209999999</v>
      </c>
      <c r="I265">
        <v>84.980288439999995</v>
      </c>
      <c r="J265">
        <v>57.654606749999999</v>
      </c>
      <c r="K265" t="s">
        <v>4</v>
      </c>
      <c r="L265" s="3">
        <v>16.440000000000001</v>
      </c>
      <c r="M265">
        <v>1</v>
      </c>
      <c r="N265">
        <f>LN(1+Table1[[#This Row],[Redness]])</f>
        <v>4.9973423139571711</v>
      </c>
      <c r="O265">
        <f>LN(1+Table1[[#This Row],[Greeness]])</f>
        <v>4.2032804978911775</v>
      </c>
      <c r="P265">
        <f>LN(1+Table1[[#This Row],[Blueness]])</f>
        <v>3.1390473248505661</v>
      </c>
      <c r="Q265">
        <f>LN(1+Table1[[#This Row],[L* lab]])</f>
        <v>3.6664071052503857</v>
      </c>
      <c r="R265">
        <f>LN(1+Table1[[#This Row],[a* lab]]+128)</f>
        <v>5.0789840663113548</v>
      </c>
      <c r="S265">
        <f>LN(1+Table1[[#This Row],[b* lab]]+128)</f>
        <v>5.1340723447980139</v>
      </c>
      <c r="T265">
        <f>LN(1+Table1[[#This Row],[Hue]])</f>
        <v>3.0931250654881408</v>
      </c>
      <c r="U265">
        <f>LN(1+Table1[[#This Row],[Saturation]])</f>
        <v>4.454118065796167</v>
      </c>
      <c r="V265">
        <f>LN(1+Table1[[#This Row],[Value]])</f>
        <v>4.0716661184769354</v>
      </c>
      <c r="W265" t="s">
        <v>26</v>
      </c>
    </row>
    <row r="266" spans="1:23" x14ac:dyDescent="0.3">
      <c r="A266">
        <v>600</v>
      </c>
      <c r="B266">
        <v>149.786633330575</v>
      </c>
      <c r="C266">
        <v>70.385995292139597</v>
      </c>
      <c r="D266">
        <v>15.3054926831792</v>
      </c>
      <c r="E266">
        <v>39.4625435993579</v>
      </c>
      <c r="F266">
        <v>30.193711369897599</v>
      </c>
      <c r="G266">
        <v>44.738047435038901</v>
      </c>
      <c r="H266">
        <v>24.574673747025599</v>
      </c>
      <c r="I266">
        <v>89.781803394031499</v>
      </c>
      <c r="J266">
        <v>58.739856208068701</v>
      </c>
      <c r="K266" t="s">
        <v>4</v>
      </c>
      <c r="L266">
        <v>16.440000000000001</v>
      </c>
      <c r="M266">
        <v>1</v>
      </c>
      <c r="N266">
        <f>LN(1+Table1[[#This Row],[Redness]])</f>
        <v>5.0158658132538285</v>
      </c>
      <c r="O266">
        <f>LN(1+Table1[[#This Row],[Greeness]])</f>
        <v>4.2681017057389239</v>
      </c>
      <c r="P266">
        <f>LN(1+Table1[[#This Row],[Blueness]])</f>
        <v>2.7915020254777572</v>
      </c>
      <c r="Q266">
        <f>LN(1+Table1[[#This Row],[L* lab]])</f>
        <v>3.7003766967768463</v>
      </c>
      <c r="R266">
        <f>LN(1+Table1[[#This Row],[a* lab]]+128)</f>
        <v>5.0701217711847129</v>
      </c>
      <c r="S266">
        <f>LN(1+Table1[[#This Row],[b* lab]]+128)</f>
        <v>5.1575486903378582</v>
      </c>
      <c r="T266">
        <f>LN(1+Table1[[#This Row],[Hue]])</f>
        <v>3.2416025550417809</v>
      </c>
      <c r="U266">
        <f>LN(1+Table1[[#This Row],[Saturation]])</f>
        <v>4.5084588623744208</v>
      </c>
      <c r="V266">
        <f>LN(1+Table1[[#This Row],[Value]])</f>
        <v>4.0899994058227085</v>
      </c>
    </row>
    <row r="267" spans="1:23" x14ac:dyDescent="0.3">
      <c r="A267">
        <v>600</v>
      </c>
      <c r="B267">
        <v>150.33028888612</v>
      </c>
      <c r="C267">
        <v>71.202272886462197</v>
      </c>
      <c r="D267">
        <v>15.440700785000599</v>
      </c>
      <c r="E267">
        <v>39.723915874106801</v>
      </c>
      <c r="F267">
        <v>29.987199908443898</v>
      </c>
      <c r="G267">
        <v>44.935585347870799</v>
      </c>
      <c r="H267">
        <v>24.803206631334501</v>
      </c>
      <c r="I267">
        <v>89.728815863117603</v>
      </c>
      <c r="J267">
        <v>58.953054465145399</v>
      </c>
      <c r="K267" t="s">
        <v>4</v>
      </c>
      <c r="L267">
        <v>16.440000000000001</v>
      </c>
      <c r="M267">
        <v>1</v>
      </c>
      <c r="N267">
        <f>LN(1+Table1[[#This Row],[Redness]])</f>
        <v>5.0194647916782795</v>
      </c>
      <c r="O267">
        <f>LN(1+Table1[[#This Row],[Greeness]])</f>
        <v>4.2794715258251967</v>
      </c>
      <c r="P267">
        <f>LN(1+Table1[[#This Row],[Blueness]])</f>
        <v>2.7997600155443907</v>
      </c>
      <c r="Q267">
        <f>LN(1+Table1[[#This Row],[L* lab]])</f>
        <v>3.7068155334856896</v>
      </c>
      <c r="R267">
        <f>LN(1+Table1[[#This Row],[a* lab]]+128)</f>
        <v>5.0688236952591543</v>
      </c>
      <c r="S267">
        <f>LN(1+Table1[[#This Row],[b* lab]]+128)</f>
        <v>5.1586850315237394</v>
      </c>
      <c r="T267">
        <f>LN(1+Table1[[#This Row],[Hue]])</f>
        <v>3.2504987722406748</v>
      </c>
      <c r="U267">
        <f>LN(1+Table1[[#This Row],[Saturation]])</f>
        <v>4.5078750118797668</v>
      </c>
      <c r="V267">
        <f>LN(1+Table1[[#This Row],[Value]])</f>
        <v>4.0935618303865375</v>
      </c>
    </row>
    <row r="268" spans="1:23" x14ac:dyDescent="0.3">
      <c r="A268">
        <v>600</v>
      </c>
      <c r="B268">
        <v>151.54253333054299</v>
      </c>
      <c r="C268">
        <v>72.542517029692206</v>
      </c>
      <c r="D268">
        <v>15.806003765663499</v>
      </c>
      <c r="E268">
        <v>40.2054704393164</v>
      </c>
      <c r="F268">
        <v>29.7833269634882</v>
      </c>
      <c r="G268">
        <v>45.279071168088997</v>
      </c>
      <c r="H268">
        <v>25.079400561914198</v>
      </c>
      <c r="I268">
        <v>89.569922438087005</v>
      </c>
      <c r="J268">
        <v>59.428444443350202</v>
      </c>
      <c r="K268" t="s">
        <v>4</v>
      </c>
      <c r="L268">
        <v>16.440000000000001</v>
      </c>
      <c r="M268">
        <v>1</v>
      </c>
      <c r="N268">
        <f>LN(1+Table1[[#This Row],[Redness]])</f>
        <v>5.0274434642456436</v>
      </c>
      <c r="O268">
        <f>LN(1+Table1[[#This Row],[Greeness]])</f>
        <v>4.2978637019625792</v>
      </c>
      <c r="P268">
        <f>LN(1+Table1[[#This Row],[Blueness]])</f>
        <v>2.8217361895726145</v>
      </c>
      <c r="Q268">
        <f>LN(1+Table1[[#This Row],[L* lab]])</f>
        <v>3.7185710251946191</v>
      </c>
      <c r="R268">
        <f>LN(1+Table1[[#This Row],[a* lab]]+128)</f>
        <v>5.0675405493680925</v>
      </c>
      <c r="S268">
        <f>LN(1+Table1[[#This Row],[b* lab]]+128)</f>
        <v>5.160657871696877</v>
      </c>
      <c r="T268">
        <f>LN(1+Table1[[#This Row],[Hue]])</f>
        <v>3.261145752205123</v>
      </c>
      <c r="U268">
        <f>LN(1+Table1[[#This Row],[Saturation]])</f>
        <v>4.5061221760111678</v>
      </c>
      <c r="V268">
        <f>LN(1+Table1[[#This Row],[Value]])</f>
        <v>4.1014599285784765</v>
      </c>
    </row>
    <row r="269" spans="1:23" x14ac:dyDescent="0.3">
      <c r="A269">
        <v>600</v>
      </c>
      <c r="B269">
        <v>151.70135555276201</v>
      </c>
      <c r="C269">
        <v>72.701339216219694</v>
      </c>
      <c r="D269">
        <v>15.7010061025677</v>
      </c>
      <c r="E269">
        <v>40.264193531459298</v>
      </c>
      <c r="F269">
        <v>29.7624427604777</v>
      </c>
      <c r="G269">
        <v>45.371699176315602</v>
      </c>
      <c r="H269">
        <v>25.1471411701893</v>
      </c>
      <c r="I269">
        <v>89.650055501905598</v>
      </c>
      <c r="J269">
        <v>59.490727667749901</v>
      </c>
      <c r="K269" t="s">
        <v>4</v>
      </c>
      <c r="L269">
        <v>16.440000000000001</v>
      </c>
      <c r="M269">
        <v>1</v>
      </c>
      <c r="N269">
        <f>LN(1+Table1[[#This Row],[Redness]])</f>
        <v>5.0284840894134879</v>
      </c>
      <c r="O269">
        <f>LN(1+Table1[[#This Row],[Greeness]])</f>
        <v>4.3000209702136392</v>
      </c>
      <c r="P269">
        <f>LN(1+Table1[[#This Row],[Blueness]])</f>
        <v>2.815468963270749</v>
      </c>
      <c r="Q269">
        <f>LN(1+Table1[[#This Row],[L* lab]])</f>
        <v>3.7199951392079464</v>
      </c>
      <c r="R269">
        <f>LN(1+Table1[[#This Row],[a* lab]]+128)</f>
        <v>5.0674090142948414</v>
      </c>
      <c r="S269">
        <f>LN(1+Table1[[#This Row],[b* lab]]+128)</f>
        <v>5.1611892229416449</v>
      </c>
      <c r="T269">
        <f>LN(1+Table1[[#This Row],[Hue]])</f>
        <v>3.2637398602588541</v>
      </c>
      <c r="U269">
        <f>LN(1+Table1[[#This Row],[Saturation]])</f>
        <v>4.5070065494665918</v>
      </c>
      <c r="V269">
        <f>LN(1+Table1[[#This Row],[Value]])</f>
        <v>4.1024900916009388</v>
      </c>
    </row>
    <row r="270" spans="1:23" x14ac:dyDescent="0.3">
      <c r="A270">
        <v>600</v>
      </c>
      <c r="B270">
        <v>150.572427775005</v>
      </c>
      <c r="C270">
        <v>71.576145024658203</v>
      </c>
      <c r="D270">
        <v>13.640568627826299</v>
      </c>
      <c r="E270">
        <v>39.8339324188766</v>
      </c>
      <c r="F270">
        <v>29.8486226061869</v>
      </c>
      <c r="G270">
        <v>45.656780757124601</v>
      </c>
      <c r="H270">
        <v>25.385871523687101</v>
      </c>
      <c r="I270">
        <v>90.940858941180807</v>
      </c>
      <c r="J270">
        <v>59.048010892158899</v>
      </c>
      <c r="K270" t="s">
        <v>4</v>
      </c>
      <c r="L270">
        <v>16.440000000000001</v>
      </c>
      <c r="M270">
        <v>1</v>
      </c>
      <c r="N270">
        <f>LN(1+Table1[[#This Row],[Redness]])</f>
        <v>5.021063581831978</v>
      </c>
      <c r="O270">
        <f>LN(1+Table1[[#This Row],[Greeness]])</f>
        <v>4.2846362869086363</v>
      </c>
      <c r="P270">
        <f>LN(1+Table1[[#This Row],[Blueness]])</f>
        <v>2.683796348477403</v>
      </c>
      <c r="Q270">
        <f>LN(1+Table1[[#This Row],[L* lab]])</f>
        <v>3.7095134126917393</v>
      </c>
      <c r="R270">
        <f>LN(1+Table1[[#This Row],[a* lab]]+128)</f>
        <v>5.0679516896435395</v>
      </c>
      <c r="S270">
        <f>LN(1+Table1[[#This Row],[b* lab]]+128)</f>
        <v>5.1628227953324126</v>
      </c>
      <c r="T270">
        <f>LN(1+Table1[[#This Row],[Hue]])</f>
        <v>3.2728286973406235</v>
      </c>
      <c r="U270">
        <f>LN(1+Table1[[#This Row],[Saturation]])</f>
        <v>4.5211455327445007</v>
      </c>
      <c r="V270">
        <f>LN(1+Table1[[#This Row],[Value]])</f>
        <v>4.095144423783518</v>
      </c>
    </row>
    <row r="271" spans="1:23" x14ac:dyDescent="0.3">
      <c r="A271">
        <v>600</v>
      </c>
      <c r="B271">
        <v>153.73746666383499</v>
      </c>
      <c r="C271">
        <v>74.739583202576995</v>
      </c>
      <c r="D271">
        <v>15.732849838274801</v>
      </c>
      <c r="E271">
        <v>41.024344239731803</v>
      </c>
      <c r="F271">
        <v>29.521946079752301</v>
      </c>
      <c r="G271">
        <v>46.098653349011897</v>
      </c>
      <c r="H271">
        <v>25.654243193423198</v>
      </c>
      <c r="I271">
        <v>89.766417920313103</v>
      </c>
      <c r="J271">
        <v>60.289202613268998</v>
      </c>
      <c r="K271" t="s">
        <v>4</v>
      </c>
      <c r="L271">
        <v>16.440000000000001</v>
      </c>
      <c r="M271">
        <v>1</v>
      </c>
      <c r="N271">
        <f>LN(1+Table1[[#This Row],[Redness]])</f>
        <v>5.0417299174210202</v>
      </c>
      <c r="O271">
        <f>LN(1+Table1[[#This Row],[Greeness]])</f>
        <v>4.3273009194558272</v>
      </c>
      <c r="P271">
        <f>LN(1+Table1[[#This Row],[Blueness]])</f>
        <v>2.8173738434851265</v>
      </c>
      <c r="Q271">
        <f>LN(1+Table1[[#This Row],[L* lab]])</f>
        <v>3.7382490751213417</v>
      </c>
      <c r="R271">
        <f>LN(1+Table1[[#This Row],[a* lab]]+128)</f>
        <v>5.0658930448034782</v>
      </c>
      <c r="S271">
        <f>LN(1+Table1[[#This Row],[b* lab]]+128)</f>
        <v>5.1653495485084449</v>
      </c>
      <c r="T271">
        <f>LN(1+Table1[[#This Row],[Hue]])</f>
        <v>3.2829483572032223</v>
      </c>
      <c r="U271">
        <f>LN(1+Table1[[#This Row],[Saturation]])</f>
        <v>4.5082893705045048</v>
      </c>
      <c r="V271">
        <f>LN(1+Table1[[#This Row],[Value]])</f>
        <v>4.1156036873505029</v>
      </c>
    </row>
    <row r="272" spans="1:23" x14ac:dyDescent="0.3">
      <c r="A272">
        <v>600</v>
      </c>
      <c r="B272">
        <v>151.76959999720501</v>
      </c>
      <c r="C272">
        <v>73.096694682920699</v>
      </c>
      <c r="D272">
        <v>13.480233307476601</v>
      </c>
      <c r="E272">
        <v>40.350330364532198</v>
      </c>
      <c r="F272">
        <v>29.530521269492699</v>
      </c>
      <c r="G272">
        <v>46.181082036322401</v>
      </c>
      <c r="H272">
        <v>25.865963292406299</v>
      </c>
      <c r="I272">
        <v>91.117962155975306</v>
      </c>
      <c r="J272">
        <v>59.5174901949825</v>
      </c>
      <c r="K272" t="s">
        <v>4</v>
      </c>
      <c r="L272">
        <v>16.440000000000001</v>
      </c>
      <c r="M272">
        <v>1</v>
      </c>
      <c r="N272">
        <f>LN(1+Table1[[#This Row],[Redness]])</f>
        <v>5.0289309040407941</v>
      </c>
      <c r="O272">
        <f>LN(1+Table1[[#This Row],[Greeness]])</f>
        <v>4.3053709251387451</v>
      </c>
      <c r="P272">
        <f>LN(1+Table1[[#This Row],[Blueness]])</f>
        <v>2.6727844992225598</v>
      </c>
      <c r="Q272">
        <f>LN(1+Table1[[#This Row],[L* lab]])</f>
        <v>3.72208041090652</v>
      </c>
      <c r="R272">
        <f>LN(1+Table1[[#This Row],[a* lab]]+128)</f>
        <v>5.0659471379938843</v>
      </c>
      <c r="S272">
        <f>LN(1+Table1[[#This Row],[b* lab]]+128)</f>
        <v>5.1658201934273773</v>
      </c>
      <c r="T272">
        <f>LN(1+Table1[[#This Row],[Hue]])</f>
        <v>3.2908601803183775</v>
      </c>
      <c r="U272">
        <f>LN(1+Table1[[#This Row],[Saturation]])</f>
        <v>4.523069953083561</v>
      </c>
      <c r="V272">
        <f>LN(1+Table1[[#This Row],[Value]])</f>
        <v>4.1029324173890815</v>
      </c>
    </row>
    <row r="273" spans="1:23" x14ac:dyDescent="0.3">
      <c r="A273">
        <v>600</v>
      </c>
      <c r="B273">
        <v>153.05099999718101</v>
      </c>
      <c r="C273">
        <v>74.578449905457703</v>
      </c>
      <c r="D273">
        <v>13.9953996193391</v>
      </c>
      <c r="E273">
        <v>40.874265093553802</v>
      </c>
      <c r="F273">
        <v>29.2821345231783</v>
      </c>
      <c r="G273">
        <v>46.502170663675997</v>
      </c>
      <c r="H273">
        <v>26.140500686704598</v>
      </c>
      <c r="I273">
        <v>90.855728077832296</v>
      </c>
      <c r="J273">
        <v>60.019999998894797</v>
      </c>
      <c r="K273" t="s">
        <v>4</v>
      </c>
      <c r="L273">
        <v>16.440000000000001</v>
      </c>
      <c r="M273">
        <v>1</v>
      </c>
      <c r="N273">
        <f>LN(1+Table1[[#This Row],[Redness]])</f>
        <v>5.0372837164022055</v>
      </c>
      <c r="O273">
        <f>LN(1+Table1[[#This Row],[Greeness]])</f>
        <v>4.3251711883892154</v>
      </c>
      <c r="P273">
        <f>LN(1+Table1[[#This Row],[Blueness]])</f>
        <v>2.7077434620185272</v>
      </c>
      <c r="Q273">
        <f>LN(1+Table1[[#This Row],[L* lab]])</f>
        <v>3.7346714399865419</v>
      </c>
      <c r="R273">
        <f>LN(1+Table1[[#This Row],[a* lab]]+128)</f>
        <v>5.0643791021678783</v>
      </c>
      <c r="S273">
        <f>LN(1+Table1[[#This Row],[b* lab]]+128)</f>
        <v>5.1676514112834262</v>
      </c>
      <c r="T273">
        <f>LN(1+Table1[[#This Row],[Hue]])</f>
        <v>3.3010271025307558</v>
      </c>
      <c r="U273">
        <f>LN(1+Table1[[#This Row],[Saturation]])</f>
        <v>4.5202191731116361</v>
      </c>
      <c r="V273">
        <f>LN(1+Table1[[#This Row],[Value]])</f>
        <v>4.1112016792704118</v>
      </c>
    </row>
    <row r="274" spans="1:23" x14ac:dyDescent="0.3">
      <c r="A274">
        <v>900</v>
      </c>
      <c r="B274">
        <v>128.88071110000001</v>
      </c>
      <c r="C274">
        <v>48.587633519999997</v>
      </c>
      <c r="D274">
        <v>20.72273878</v>
      </c>
      <c r="E274">
        <v>31.517295220000001</v>
      </c>
      <c r="F274">
        <v>33.168767180000003</v>
      </c>
      <c r="G274">
        <v>34.110547320000002</v>
      </c>
      <c r="H274">
        <v>15.45788673</v>
      </c>
      <c r="I274">
        <v>83.920992830000003</v>
      </c>
      <c r="J274">
        <v>50.541455339999999</v>
      </c>
      <c r="K274" t="s">
        <v>4</v>
      </c>
      <c r="L274">
        <v>24.66</v>
      </c>
      <c r="M274">
        <v>2</v>
      </c>
      <c r="N274">
        <f>LN(1+Table1[[#This Row],[Redness]])</f>
        <v>4.8666164222735535</v>
      </c>
      <c r="O274">
        <f>LN(1+Table1[[#This Row],[Greeness]])</f>
        <v>3.9037414784508893</v>
      </c>
      <c r="P274">
        <f>LN(1+Table1[[#This Row],[Blueness]])</f>
        <v>3.0783595819599103</v>
      </c>
      <c r="Q274">
        <f>LN(1+Table1[[#This Row],[L* lab]])</f>
        <v>3.4817721084038311</v>
      </c>
      <c r="R274">
        <f>LN(1+Table1[[#This Row],[a* lab]]+128)</f>
        <v>5.0886375656798188</v>
      </c>
      <c r="S274">
        <f>LN(1+Table1[[#This Row],[b* lab]]+128)</f>
        <v>5.0944281753472538</v>
      </c>
      <c r="T274">
        <f>LN(1+Table1[[#This Row],[Hue]])</f>
        <v>2.8008047987925995</v>
      </c>
      <c r="U274">
        <f>LN(1+Table1[[#This Row],[Saturation]])</f>
        <v>4.4417213281232826</v>
      </c>
      <c r="V274">
        <f>LN(1+Table1[[#This Row],[Value]])</f>
        <v>3.9423864419229599</v>
      </c>
      <c r="W274" t="s">
        <v>26</v>
      </c>
    </row>
    <row r="275" spans="1:23" x14ac:dyDescent="0.3">
      <c r="A275">
        <v>900</v>
      </c>
      <c r="B275">
        <v>131.28835559999999</v>
      </c>
      <c r="C275">
        <v>50.079810969999997</v>
      </c>
      <c r="D275">
        <v>20.481499700000001</v>
      </c>
      <c r="E275">
        <v>32.232661710000002</v>
      </c>
      <c r="F275">
        <v>33.36817344</v>
      </c>
      <c r="G275">
        <v>35.070913220000001</v>
      </c>
      <c r="H275">
        <v>16.0269747</v>
      </c>
      <c r="I275">
        <v>84.399606790000007</v>
      </c>
      <c r="J275">
        <v>51.485629629999998</v>
      </c>
      <c r="K275" t="s">
        <v>4</v>
      </c>
      <c r="L275">
        <v>24.66</v>
      </c>
      <c r="M275">
        <v>2</v>
      </c>
      <c r="N275">
        <f>LN(1+Table1[[#This Row],[Redness]])</f>
        <v>4.8849840521301946</v>
      </c>
      <c r="O275">
        <f>LN(1+Table1[[#This Row],[Greeness]])</f>
        <v>3.9333893304918686</v>
      </c>
      <c r="P275">
        <f>LN(1+Table1[[#This Row],[Blueness]])</f>
        <v>3.0671920856392245</v>
      </c>
      <c r="Q275">
        <f>LN(1+Table1[[#This Row],[L* lab]])</f>
        <v>3.5035331787674879</v>
      </c>
      <c r="R275">
        <f>LN(1+Table1[[#This Row],[a* lab]]+128)</f>
        <v>5.0898664321670228</v>
      </c>
      <c r="S275">
        <f>LN(1+Table1[[#This Row],[b* lab]]+128)</f>
        <v>5.1002987320501862</v>
      </c>
      <c r="T275">
        <f>LN(1+Table1[[#This Row],[Hue]])</f>
        <v>2.8347988335620284</v>
      </c>
      <c r="U275">
        <f>LN(1+Table1[[#This Row],[Saturation]])</f>
        <v>4.4473414964513713</v>
      </c>
      <c r="V275">
        <f>LN(1+Table1[[#This Row],[Value]])</f>
        <v>3.960539410795723</v>
      </c>
      <c r="W275" t="s">
        <v>26</v>
      </c>
    </row>
    <row r="276" spans="1:23" x14ac:dyDescent="0.3">
      <c r="A276">
        <v>900</v>
      </c>
      <c r="B276">
        <v>135.37653330000001</v>
      </c>
      <c r="C276">
        <v>53.075276959999997</v>
      </c>
      <c r="D276">
        <v>18.272926640000001</v>
      </c>
      <c r="E276">
        <v>33.524897639999999</v>
      </c>
      <c r="F276">
        <v>33.414395859999999</v>
      </c>
      <c r="G276">
        <v>37.608760439999998</v>
      </c>
      <c r="H276">
        <v>17.831568799999999</v>
      </c>
      <c r="I276">
        <v>86.50214613</v>
      </c>
      <c r="J276">
        <v>53.0888366</v>
      </c>
      <c r="K276" t="s">
        <v>4</v>
      </c>
      <c r="L276">
        <v>24.66</v>
      </c>
      <c r="M276">
        <v>2</v>
      </c>
      <c r="N276">
        <f>LN(1+Table1[[#This Row],[Redness]])</f>
        <v>4.9154196873530918</v>
      </c>
      <c r="O276">
        <f>LN(1+Table1[[#This Row],[Greeness]])</f>
        <v>3.9903770936013183</v>
      </c>
      <c r="P276">
        <f>LN(1+Table1[[#This Row],[Blueness]])</f>
        <v>2.9587013463484397</v>
      </c>
      <c r="Q276">
        <f>LN(1+Table1[[#This Row],[L* lab]])</f>
        <v>3.5416807344828505</v>
      </c>
      <c r="R276">
        <f>LN(1+Table1[[#This Row],[a* lab]]+128)</f>
        <v>5.0901510682570184</v>
      </c>
      <c r="S276">
        <f>LN(1+Table1[[#This Row],[b* lab]]+128)</f>
        <v>5.1156483120237386</v>
      </c>
      <c r="T276">
        <f>LN(1+Table1[[#This Row],[Hue]])</f>
        <v>2.9355346530595146</v>
      </c>
      <c r="U276">
        <f>LN(1+Table1[[#This Row],[Saturation]])</f>
        <v>4.471663320262782</v>
      </c>
      <c r="V276">
        <f>LN(1+Table1[[#This Row],[Value]])</f>
        <v>3.9906278170552394</v>
      </c>
      <c r="W276" t="s">
        <v>26</v>
      </c>
    </row>
    <row r="277" spans="1:23" x14ac:dyDescent="0.3">
      <c r="A277">
        <v>900</v>
      </c>
      <c r="B277">
        <v>137.93119999999999</v>
      </c>
      <c r="C277">
        <v>55.781498569999997</v>
      </c>
      <c r="D277">
        <v>18.89806828</v>
      </c>
      <c r="E277">
        <v>34.504728739999997</v>
      </c>
      <c r="F277">
        <v>33.081182859999998</v>
      </c>
      <c r="G277">
        <v>38.36412687</v>
      </c>
      <c r="H277">
        <v>18.59151134</v>
      </c>
      <c r="I277">
        <v>86.298916939999998</v>
      </c>
      <c r="J277">
        <v>54.090666669999997</v>
      </c>
      <c r="K277" t="s">
        <v>4</v>
      </c>
      <c r="L277">
        <v>24.66</v>
      </c>
      <c r="M277">
        <v>2</v>
      </c>
      <c r="N277">
        <f>LN(1+Table1[[#This Row],[Redness]])</f>
        <v>4.9339788465667844</v>
      </c>
      <c r="O277">
        <f>LN(1+Table1[[#This Row],[Greeness]])</f>
        <v>4.0392105432643532</v>
      </c>
      <c r="P277">
        <f>LN(1+Table1[[#This Row],[Blueness]])</f>
        <v>2.9906226556619337</v>
      </c>
      <c r="Q277">
        <f>LN(1+Table1[[#This Row],[L* lab]])</f>
        <v>3.5696658915541746</v>
      </c>
      <c r="R277">
        <f>LN(1+Table1[[#This Row],[a* lab]]+128)</f>
        <v>5.0880973384747303</v>
      </c>
      <c r="S277">
        <f>LN(1+Table1[[#This Row],[b* lab]]+128)</f>
        <v>5.1201718392125963</v>
      </c>
      <c r="T277">
        <f>LN(1+Table1[[#This Row],[Hue]])</f>
        <v>2.9750963775258294</v>
      </c>
      <c r="U277">
        <f>LN(1+Table1[[#This Row],[Saturation]])</f>
        <v>4.4693380565830321</v>
      </c>
      <c r="V277">
        <f>LN(1+Table1[[#This Row],[Value]])</f>
        <v>4.0089803128817243</v>
      </c>
      <c r="W277" t="s">
        <v>26</v>
      </c>
    </row>
    <row r="278" spans="1:23" x14ac:dyDescent="0.3">
      <c r="A278">
        <v>900</v>
      </c>
      <c r="B278">
        <v>146.83022221951799</v>
      </c>
      <c r="C278">
        <v>57.843720333188003</v>
      </c>
      <c r="D278">
        <v>15.3591248228367</v>
      </c>
      <c r="E278">
        <v>36.434088224148098</v>
      </c>
      <c r="F278">
        <v>35.497410296114403</v>
      </c>
      <c r="G278">
        <v>42.105942409510803</v>
      </c>
      <c r="H278">
        <v>19.388867827959601</v>
      </c>
      <c r="I278">
        <v>89.539534442797404</v>
      </c>
      <c r="J278">
        <v>57.580479301772002</v>
      </c>
      <c r="K278" t="s">
        <v>4</v>
      </c>
      <c r="L278">
        <v>24.66</v>
      </c>
      <c r="M278">
        <v>2</v>
      </c>
      <c r="N278">
        <f>LN(1+Table1[[#This Row],[Redness]])</f>
        <v>4.9960644681217588</v>
      </c>
      <c r="O278">
        <f>LN(1+Table1[[#This Row],[Greeness]])</f>
        <v>4.074885121694801</v>
      </c>
      <c r="P278">
        <f>LN(1+Table1[[#This Row],[Blueness]])</f>
        <v>2.7947858348070636</v>
      </c>
      <c r="Q278">
        <f>LN(1+Table1[[#This Row],[L* lab]])</f>
        <v>3.6225817391458301</v>
      </c>
      <c r="R278">
        <f>LN(1+Table1[[#This Row],[a* lab]]+128)</f>
        <v>5.1028948272007426</v>
      </c>
      <c r="S278">
        <f>LN(1+Table1[[#This Row],[b* lab]]+128)</f>
        <v>5.1422829109175598</v>
      </c>
      <c r="T278">
        <f>LN(1+Table1[[#This Row],[Hue]])</f>
        <v>3.0149890571967624</v>
      </c>
      <c r="U278">
        <f>LN(1+Table1[[#This Row],[Saturation]])</f>
        <v>4.50578659998882</v>
      </c>
      <c r="V278">
        <f>LN(1+Table1[[#This Row],[Value]])</f>
        <v>4.0704015233697337</v>
      </c>
    </row>
    <row r="279" spans="1:23" x14ac:dyDescent="0.3">
      <c r="A279">
        <v>900</v>
      </c>
      <c r="B279">
        <v>144.836483330666</v>
      </c>
      <c r="C279">
        <v>56.222426253122997</v>
      </c>
      <c r="D279">
        <v>13.493605232083601</v>
      </c>
      <c r="E279">
        <v>35.766691233353598</v>
      </c>
      <c r="F279">
        <v>35.477054919824198</v>
      </c>
      <c r="G279">
        <v>42.144254716216302</v>
      </c>
      <c r="H279">
        <v>19.5193625903194</v>
      </c>
      <c r="I279">
        <v>90.683559196009099</v>
      </c>
      <c r="J279">
        <v>56.798620913986802</v>
      </c>
      <c r="K279" t="s">
        <v>4</v>
      </c>
      <c r="L279">
        <v>24.66</v>
      </c>
      <c r="M279">
        <v>2</v>
      </c>
      <c r="N279">
        <f>LN(1+Table1[[#This Row],[Redness]])</f>
        <v>4.982486016877993</v>
      </c>
      <c r="O279">
        <f>LN(1+Table1[[#This Row],[Greeness]])</f>
        <v>4.0469458889097174</v>
      </c>
      <c r="P279">
        <f>LN(1+Table1[[#This Row],[Blueness]])</f>
        <v>2.6737075336722853</v>
      </c>
      <c r="Q279">
        <f>LN(1+Table1[[#This Row],[L* lab]])</f>
        <v>3.6045923057693723</v>
      </c>
      <c r="R279">
        <f>LN(1+Table1[[#This Row],[a* lab]]+128)</f>
        <v>5.1027710767065955</v>
      </c>
      <c r="S279">
        <f>LN(1+Table1[[#This Row],[b* lab]]+128)</f>
        <v>5.1425067957082033</v>
      </c>
      <c r="T279">
        <f>LN(1+Table1[[#This Row],[Hue]])</f>
        <v>3.0213689569701767</v>
      </c>
      <c r="U279">
        <f>LN(1+Table1[[#This Row],[Saturation]])</f>
        <v>4.5183430741588753</v>
      </c>
      <c r="V279">
        <f>LN(1+Table1[[#This Row],[Value]])</f>
        <v>4.0569649157740812</v>
      </c>
    </row>
    <row r="280" spans="1:23" x14ac:dyDescent="0.3">
      <c r="A280">
        <v>900</v>
      </c>
      <c r="B280">
        <v>148.531577775042</v>
      </c>
      <c r="C280">
        <v>57.531564847788196</v>
      </c>
      <c r="D280">
        <v>12.7718268520627</v>
      </c>
      <c r="E280">
        <v>36.660240013651098</v>
      </c>
      <c r="F280">
        <v>36.265993641453001</v>
      </c>
      <c r="G280">
        <v>43.387405510336698</v>
      </c>
      <c r="H280">
        <v>19.781888678236601</v>
      </c>
      <c r="I280">
        <v>91.401271673417398</v>
      </c>
      <c r="J280">
        <v>58.247677558840302</v>
      </c>
      <c r="K280" t="s">
        <v>4</v>
      </c>
      <c r="L280">
        <v>24.66</v>
      </c>
      <c r="M280">
        <v>2</v>
      </c>
      <c r="N280">
        <f>LN(1+Table1[[#This Row],[Redness]])</f>
        <v>5.0075075931019253</v>
      </c>
      <c r="O280">
        <f>LN(1+Table1[[#This Row],[Greeness]])</f>
        <v>4.0695661787698958</v>
      </c>
      <c r="P280">
        <f>LN(1+Table1[[#This Row],[Blueness]])</f>
        <v>2.622624972935923</v>
      </c>
      <c r="Q280">
        <f>LN(1+Table1[[#This Row],[L* lab]])</f>
        <v>3.6286048963805273</v>
      </c>
      <c r="R280">
        <f>LN(1+Table1[[#This Row],[a* lab]]+128)</f>
        <v>5.10755625856559</v>
      </c>
      <c r="S280">
        <f>LN(1+Table1[[#This Row],[b* lab]]+128)</f>
        <v>5.1497443016766695</v>
      </c>
      <c r="T280">
        <f>LN(1+Table1[[#This Row],[Hue]])</f>
        <v>3.0340818707726958</v>
      </c>
      <c r="U280">
        <f>LN(1+Table1[[#This Row],[Saturation]])</f>
        <v>4.5261407412522559</v>
      </c>
      <c r="V280">
        <f>LN(1+Table1[[#This Row],[Value]])</f>
        <v>4.081726581927855</v>
      </c>
    </row>
    <row r="281" spans="1:23" x14ac:dyDescent="0.3">
      <c r="A281">
        <v>900</v>
      </c>
      <c r="B281">
        <v>150.61302221944899</v>
      </c>
      <c r="C281">
        <v>59.613008824436399</v>
      </c>
      <c r="D281">
        <v>14.8004261465288</v>
      </c>
      <c r="E281">
        <v>37.426593327652903</v>
      </c>
      <c r="F281">
        <v>36.0976649061922</v>
      </c>
      <c r="G281">
        <v>43.381424519234102</v>
      </c>
      <c r="H281">
        <v>19.797537477531201</v>
      </c>
      <c r="I281">
        <v>90.173209508428698</v>
      </c>
      <c r="J281">
        <v>59.063930282136802</v>
      </c>
      <c r="K281" t="s">
        <v>4</v>
      </c>
      <c r="L281">
        <v>24.66</v>
      </c>
      <c r="M281">
        <v>2</v>
      </c>
      <c r="N281">
        <f>LN(1+Table1[[#This Row],[Redness]])</f>
        <v>5.0213313680643807</v>
      </c>
      <c r="O281">
        <f>LN(1+Table1[[#This Row],[Greeness]])</f>
        <v>4.1045095371074982</v>
      </c>
      <c r="P281">
        <f>LN(1+Table1[[#This Row],[Blueness]])</f>
        <v>2.7600369109684935</v>
      </c>
      <c r="Q281">
        <f>LN(1+Table1[[#This Row],[L* lab]])</f>
        <v>3.6487497544765639</v>
      </c>
      <c r="R281">
        <f>LN(1+Table1[[#This Row],[a* lab]]+128)</f>
        <v>5.1065372073142035</v>
      </c>
      <c r="S281">
        <f>LN(1+Table1[[#This Row],[b* lab]]+128)</f>
        <v>5.1497096060163763</v>
      </c>
      <c r="T281">
        <f>LN(1+Table1[[#This Row],[Hue]])</f>
        <v>3.0348345891952557</v>
      </c>
      <c r="U281">
        <f>LN(1+Table1[[#This Row],[Saturation]])</f>
        <v>4.5127610985356839</v>
      </c>
      <c r="V281">
        <f>LN(1+Table1[[#This Row],[Value]])</f>
        <v>4.095409499677146</v>
      </c>
    </row>
    <row r="282" spans="1:23" x14ac:dyDescent="0.3">
      <c r="A282">
        <v>900</v>
      </c>
      <c r="B282">
        <v>150.635177775004</v>
      </c>
      <c r="C282">
        <v>61.132052927481702</v>
      </c>
      <c r="D282">
        <v>17.050620509014301</v>
      </c>
      <c r="E282">
        <v>37.732557042066702</v>
      </c>
      <c r="F282">
        <v>35.399110673001601</v>
      </c>
      <c r="G282">
        <v>42.7637867935345</v>
      </c>
      <c r="H282">
        <v>19.799339079603499</v>
      </c>
      <c r="I282">
        <v>88.680850807318095</v>
      </c>
      <c r="J282">
        <v>59.072618735295698</v>
      </c>
      <c r="K282" t="s">
        <v>4</v>
      </c>
      <c r="L282">
        <v>24.66</v>
      </c>
      <c r="M282">
        <v>2</v>
      </c>
      <c r="N282">
        <f>LN(1+Table1[[#This Row],[Redness]])</f>
        <v>5.0214774896611107</v>
      </c>
      <c r="O282">
        <f>LN(1+Table1[[#This Row],[Greeness]])</f>
        <v>4.1292620059807303</v>
      </c>
      <c r="P282">
        <f>LN(1+Table1[[#This Row],[Blueness]])</f>
        <v>2.8931800614187155</v>
      </c>
      <c r="Q282">
        <f>LN(1+Table1[[#This Row],[L* lab]])</f>
        <v>3.6566805136056582</v>
      </c>
      <c r="R282">
        <f>LN(1+Table1[[#This Row],[a* lab]]+128)</f>
        <v>5.1022970730758272</v>
      </c>
      <c r="S282">
        <f>LN(1+Table1[[#This Row],[b* lab]]+128)</f>
        <v>5.1461202003322359</v>
      </c>
      <c r="T282">
        <f>LN(1+Table1[[#This Row],[Hue]])</f>
        <v>3.0349212111833732</v>
      </c>
      <c r="U282">
        <f>LN(1+Table1[[#This Row],[Saturation]])</f>
        <v>4.4962572658656246</v>
      </c>
      <c r="V282">
        <f>LN(1+Table1[[#This Row],[Value]])</f>
        <v>4.0955541426395934</v>
      </c>
    </row>
    <row r="283" spans="1:23" x14ac:dyDescent="0.3">
      <c r="A283">
        <v>900</v>
      </c>
      <c r="B283">
        <v>151.09191110832899</v>
      </c>
      <c r="C283">
        <v>60.0918976056969</v>
      </c>
      <c r="D283">
        <v>14.8053593700647</v>
      </c>
      <c r="E283">
        <v>37.600321831414597</v>
      </c>
      <c r="F283">
        <v>36.049520899963703</v>
      </c>
      <c r="G283">
        <v>43.555574299986901</v>
      </c>
      <c r="H283">
        <v>19.937347151876299</v>
      </c>
      <c r="I283">
        <v>90.2010906729151</v>
      </c>
      <c r="J283">
        <v>59.251729846403499</v>
      </c>
      <c r="K283" t="s">
        <v>4</v>
      </c>
      <c r="L283">
        <v>24.66</v>
      </c>
      <c r="M283">
        <v>2</v>
      </c>
      <c r="N283">
        <f>LN(1+Table1[[#This Row],[Redness]])</f>
        <v>5.0244850164462598</v>
      </c>
      <c r="O283">
        <f>LN(1+Table1[[#This Row],[Greeness]])</f>
        <v>4.1123792486395008</v>
      </c>
      <c r="P283">
        <f>LN(1+Table1[[#This Row],[Blueness]])</f>
        <v>2.7603490831543973</v>
      </c>
      <c r="Q283">
        <f>LN(1+Table1[[#This Row],[L* lab]])</f>
        <v>3.6532606140374422</v>
      </c>
      <c r="R283">
        <f>LN(1+Table1[[#This Row],[a* lab]]+128)</f>
        <v>5.1062455555380284</v>
      </c>
      <c r="S283">
        <f>LN(1+Table1[[#This Row],[b* lab]]+128)</f>
        <v>5.1507193544408469</v>
      </c>
      <c r="T283">
        <f>LN(1+Table1[[#This Row],[Hue]])</f>
        <v>3.0415345093497455</v>
      </c>
      <c r="U283">
        <f>LN(1+Table1[[#This Row],[Saturation]])</f>
        <v>4.5130668561416165</v>
      </c>
      <c r="V283">
        <f>LN(1+Table1[[#This Row],[Value]])</f>
        <v>4.0985312831022336</v>
      </c>
    </row>
    <row r="284" spans="1:23" x14ac:dyDescent="0.3">
      <c r="A284">
        <v>900</v>
      </c>
      <c r="B284">
        <v>132.95788888644</v>
      </c>
      <c r="C284">
        <v>53.2663213619402</v>
      </c>
      <c r="D284">
        <v>13.2818599448404</v>
      </c>
      <c r="E284">
        <v>33.104846695834901</v>
      </c>
      <c r="F284">
        <v>32.207689113919699</v>
      </c>
      <c r="G284">
        <v>39.2417800011347</v>
      </c>
      <c r="H284">
        <v>20.046351021528999</v>
      </c>
      <c r="I284">
        <v>90.010476207106095</v>
      </c>
      <c r="J284">
        <v>52.140348582917902</v>
      </c>
      <c r="K284" t="s">
        <v>4</v>
      </c>
      <c r="L284">
        <v>24.66</v>
      </c>
      <c r="M284">
        <v>2</v>
      </c>
      <c r="N284">
        <f>LN(1+Table1[[#This Row],[Redness]])</f>
        <v>4.8975254885187551</v>
      </c>
      <c r="O284">
        <f>LN(1+Table1[[#This Row],[Greeness]])</f>
        <v>3.9939038017708755</v>
      </c>
      <c r="P284">
        <f>LN(1+Table1[[#This Row],[Blueness]])</f>
        <v>2.6589901966679963</v>
      </c>
      <c r="Q284">
        <f>LN(1+Table1[[#This Row],[L* lab]])</f>
        <v>3.5294395060323636</v>
      </c>
      <c r="R284">
        <f>LN(1+Table1[[#This Row],[a* lab]]+128)</f>
        <v>5.0826935281528201</v>
      </c>
      <c r="S284">
        <f>LN(1+Table1[[#This Row],[b* lab]]+128)</f>
        <v>5.1254021114688531</v>
      </c>
      <c r="T284">
        <f>LN(1+Table1[[#This Row],[Hue]])</f>
        <v>3.046727196955973</v>
      </c>
      <c r="U284">
        <f>LN(1+Table1[[#This Row],[Saturation]])</f>
        <v>4.5109746230457004</v>
      </c>
      <c r="V284">
        <f>LN(1+Table1[[#This Row],[Value]])</f>
        <v>3.972936500018807</v>
      </c>
    </row>
    <row r="285" spans="1:23" x14ac:dyDescent="0.3">
      <c r="A285">
        <v>900</v>
      </c>
      <c r="B285">
        <v>147.041466663959</v>
      </c>
      <c r="C285">
        <v>58.721275691516503</v>
      </c>
      <c r="D285">
        <v>14.354747176994501</v>
      </c>
      <c r="E285">
        <v>36.632916275991299</v>
      </c>
      <c r="F285">
        <v>35.120591869257503</v>
      </c>
      <c r="G285">
        <v>42.661263697333801</v>
      </c>
      <c r="H285">
        <v>20.062231707618899</v>
      </c>
      <c r="I285">
        <v>90.2376196982582</v>
      </c>
      <c r="J285">
        <v>57.663320260376103</v>
      </c>
      <c r="K285" t="s">
        <v>4</v>
      </c>
      <c r="L285">
        <v>24.66</v>
      </c>
      <c r="M285">
        <v>2</v>
      </c>
      <c r="N285">
        <f>LN(1+Table1[[#This Row],[Redness]])</f>
        <v>4.9974924146828688</v>
      </c>
      <c r="O285">
        <f>LN(1+Table1[[#This Row],[Greeness]])</f>
        <v>4.0896883336537684</v>
      </c>
      <c r="P285">
        <f>LN(1+Table1[[#This Row],[Blueness]])</f>
        <v>2.7314246885663831</v>
      </c>
      <c r="Q285">
        <f>LN(1+Table1[[#This Row],[L* lab]])</f>
        <v>3.6278791003000932</v>
      </c>
      <c r="R285">
        <f>LN(1+Table1[[#This Row],[a* lab]]+128)</f>
        <v>5.1006014738875987</v>
      </c>
      <c r="S285">
        <f>LN(1+Table1[[#This Row],[b* lab]]+128)</f>
        <v>5.1455231378925577</v>
      </c>
      <c r="T285">
        <f>LN(1+Table1[[#This Row],[Hue]])</f>
        <v>3.0474814701142487</v>
      </c>
      <c r="U285">
        <f>LN(1+Table1[[#This Row],[Saturation]])</f>
        <v>4.5134673087183419</v>
      </c>
      <c r="V285">
        <f>LN(1+Table1[[#This Row],[Value]])</f>
        <v>4.0718146637268253</v>
      </c>
    </row>
    <row r="286" spans="1:23" x14ac:dyDescent="0.3">
      <c r="A286">
        <v>900</v>
      </c>
      <c r="B286">
        <v>151.94684444164599</v>
      </c>
      <c r="C286">
        <v>60.9468307468875</v>
      </c>
      <c r="D286">
        <v>14.5843865104193</v>
      </c>
      <c r="E286">
        <v>37.909916072885899</v>
      </c>
      <c r="F286">
        <v>35.956569658698903</v>
      </c>
      <c r="G286">
        <v>43.945595099444901</v>
      </c>
      <c r="H286">
        <v>20.251142095759601</v>
      </c>
      <c r="I286">
        <v>90.401652259372597</v>
      </c>
      <c r="J286">
        <v>59.5869978202536</v>
      </c>
      <c r="K286" t="s">
        <v>4</v>
      </c>
      <c r="L286">
        <v>24.66</v>
      </c>
      <c r="M286">
        <v>2</v>
      </c>
      <c r="N286">
        <f>LN(1+Table1[[#This Row],[Redness]])</f>
        <v>5.0300904390774219</v>
      </c>
      <c r="O286">
        <f>LN(1+Table1[[#This Row],[Greeness]])</f>
        <v>4.1262764485241918</v>
      </c>
      <c r="P286">
        <f>LN(1+Table1[[#This Row],[Blueness]])</f>
        <v>2.7462695483392392</v>
      </c>
      <c r="Q286">
        <f>LN(1+Table1[[#This Row],[L* lab]])</f>
        <v>3.6612491300392631</v>
      </c>
      <c r="R286">
        <f>LN(1+Table1[[#This Row],[a* lab]]+128)</f>
        <v>5.1056822250639424</v>
      </c>
      <c r="S286">
        <f>LN(1+Table1[[#This Row],[b* lab]]+128)</f>
        <v>5.1529770658448681</v>
      </c>
      <c r="T286">
        <f>LN(1+Table1[[#This Row],[Hue]])</f>
        <v>3.0564106396089832</v>
      </c>
      <c r="U286">
        <f>LN(1+Table1[[#This Row],[Saturation]])</f>
        <v>4.5152635555327372</v>
      </c>
      <c r="V286">
        <f>LN(1+Table1[[#This Row],[Value]])</f>
        <v>4.1040803126329743</v>
      </c>
    </row>
    <row r="287" spans="1:23" x14ac:dyDescent="0.3">
      <c r="A287">
        <v>900</v>
      </c>
      <c r="B287">
        <v>140.325422219638</v>
      </c>
      <c r="C287">
        <v>59.320608890152101</v>
      </c>
      <c r="D287">
        <v>16.743538454766501</v>
      </c>
      <c r="E287">
        <v>35.611862704652097</v>
      </c>
      <c r="F287">
        <v>32.161917579918502</v>
      </c>
      <c r="G287">
        <v>40.376212495230597</v>
      </c>
      <c r="H287">
        <v>20.6715106478194</v>
      </c>
      <c r="I287">
        <v>88.068064795444201</v>
      </c>
      <c r="J287">
        <v>55.029577341034603</v>
      </c>
      <c r="K287" t="s">
        <v>4</v>
      </c>
      <c r="L287">
        <v>24.66</v>
      </c>
      <c r="M287">
        <v>2</v>
      </c>
      <c r="N287">
        <f>LN(1+Table1[[#This Row],[Redness]])</f>
        <v>4.9510651901361449</v>
      </c>
      <c r="O287">
        <f>LN(1+Table1[[#This Row],[Greeness]])</f>
        <v>4.0996738179815138</v>
      </c>
      <c r="P287">
        <f>LN(1+Table1[[#This Row],[Blueness]])</f>
        <v>2.8760214189287785</v>
      </c>
      <c r="Q287">
        <f>LN(1+Table1[[#This Row],[L* lab]])</f>
        <v>3.6003723055059993</v>
      </c>
      <c r="R287">
        <f>LN(1+Table1[[#This Row],[a* lab]]+128)</f>
        <v>5.0824095588619302</v>
      </c>
      <c r="S287">
        <f>LN(1+Table1[[#This Row],[b* lab]]+128)</f>
        <v>5.1321223502517705</v>
      </c>
      <c r="T287">
        <f>LN(1+Table1[[#This Row],[Hue]])</f>
        <v>3.0759985246007409</v>
      </c>
      <c r="U287">
        <f>LN(1+Table1[[#This Row],[Saturation]])</f>
        <v>4.4894008504248157</v>
      </c>
      <c r="V287">
        <f>LN(1+Table1[[#This Row],[Value]])</f>
        <v>4.025879718108345</v>
      </c>
    </row>
    <row r="288" spans="1:23" x14ac:dyDescent="0.3">
      <c r="A288">
        <v>900</v>
      </c>
      <c r="B288">
        <v>139.47242221965399</v>
      </c>
      <c r="C288">
        <v>61.646275034134597</v>
      </c>
      <c r="D288">
        <v>12.7551605563332</v>
      </c>
      <c r="E288">
        <v>35.922789143456299</v>
      </c>
      <c r="F288">
        <v>30.480756787316</v>
      </c>
      <c r="G288">
        <v>42.1623890779276</v>
      </c>
      <c r="H288">
        <v>23.149702180765999</v>
      </c>
      <c r="I288">
        <v>90.854707795749604</v>
      </c>
      <c r="J288">
        <v>54.695067537119201</v>
      </c>
      <c r="K288" t="s">
        <v>4</v>
      </c>
      <c r="L288">
        <v>24.66</v>
      </c>
      <c r="M288">
        <v>2</v>
      </c>
      <c r="N288">
        <f>LN(1+Table1[[#This Row],[Redness]])</f>
        <v>4.9450111863736099</v>
      </c>
      <c r="O288">
        <f>LN(1+Table1[[#This Row],[Greeness]])</f>
        <v>4.1375042228168262</v>
      </c>
      <c r="P288">
        <f>LN(1+Table1[[#This Row],[Blueness]])</f>
        <v>2.6214140668880721</v>
      </c>
      <c r="Q288">
        <f>LN(1+Table1[[#This Row],[L* lab]])</f>
        <v>3.6088289523786345</v>
      </c>
      <c r="R288">
        <f>LN(1+Table1[[#This Row],[a* lab]]+128)</f>
        <v>5.0719232678449853</v>
      </c>
      <c r="S288">
        <f>LN(1+Table1[[#This Row],[b* lab]]+128)</f>
        <v>5.1426127496068901</v>
      </c>
      <c r="T288">
        <f>LN(1+Table1[[#This Row],[Hue]])</f>
        <v>3.1842720479631623</v>
      </c>
      <c r="U288">
        <f>LN(1+Table1[[#This Row],[Saturation]])</f>
        <v>4.5202080656089203</v>
      </c>
      <c r="V288">
        <f>LN(1+Table1[[#This Row],[Value]])</f>
        <v>4.0198915889208759</v>
      </c>
    </row>
    <row r="289" spans="1:23" x14ac:dyDescent="0.3">
      <c r="A289">
        <v>900</v>
      </c>
      <c r="B289">
        <v>148.054622219496</v>
      </c>
      <c r="C289">
        <v>70.2007397782195</v>
      </c>
      <c r="D289">
        <v>15.866891299395199</v>
      </c>
      <c r="E289">
        <v>39.149664244483503</v>
      </c>
      <c r="F289">
        <v>29.573097220927401</v>
      </c>
      <c r="G289">
        <v>44.173834909243098</v>
      </c>
      <c r="H289">
        <v>24.662129276581101</v>
      </c>
      <c r="I289">
        <v>89.283082782871801</v>
      </c>
      <c r="J289">
        <v>58.060636164508303</v>
      </c>
      <c r="K289" t="s">
        <v>4</v>
      </c>
      <c r="L289">
        <v>24.66</v>
      </c>
      <c r="M289">
        <v>2</v>
      </c>
      <c r="N289">
        <f>LN(1+Table1[[#This Row],[Redness]])</f>
        <v>5.0043128308441558</v>
      </c>
      <c r="O289">
        <f>LN(1+Table1[[#This Row],[Greeness]])</f>
        <v>4.2655032085074849</v>
      </c>
      <c r="P289">
        <f>LN(1+Table1[[#This Row],[Blueness]])</f>
        <v>2.8253526056825851</v>
      </c>
      <c r="Q289">
        <f>LN(1+Table1[[#This Row],[L* lab]])</f>
        <v>3.6926140778293739</v>
      </c>
      <c r="R289">
        <f>LN(1+Table1[[#This Row],[a* lab]]+128)</f>
        <v>5.0662156682105577</v>
      </c>
      <c r="S289">
        <f>LN(1+Table1[[#This Row],[b* lab]]+128)</f>
        <v>5.1542959160629858</v>
      </c>
      <c r="T289">
        <f>LN(1+Table1[[#This Row],[Hue]])</f>
        <v>3.2450163361259898</v>
      </c>
      <c r="U289">
        <f>LN(1+Table1[[#This Row],[Saturation]])</f>
        <v>4.5029500982745372</v>
      </c>
      <c r="V289">
        <f>LN(1+Table1[[#This Row],[Value]])</f>
        <v>4.0785646477529944</v>
      </c>
    </row>
    <row r="290" spans="1:23" x14ac:dyDescent="0.3">
      <c r="A290">
        <v>1200</v>
      </c>
      <c r="B290">
        <v>125.2827083</v>
      </c>
      <c r="C290">
        <v>41.453365679999997</v>
      </c>
      <c r="D290">
        <v>17.246857810000002</v>
      </c>
      <c r="E290">
        <v>29.516012150000002</v>
      </c>
      <c r="F290">
        <v>35.115118209999999</v>
      </c>
      <c r="G290">
        <v>33.806610159999998</v>
      </c>
      <c r="H290">
        <v>13.44359734</v>
      </c>
      <c r="I290">
        <v>86.233648650000006</v>
      </c>
      <c r="J290">
        <v>49.130473860000002</v>
      </c>
      <c r="K290" t="s">
        <v>4</v>
      </c>
      <c r="L290" s="3">
        <v>32.880000000000003</v>
      </c>
      <c r="M290">
        <v>2</v>
      </c>
      <c r="N290">
        <f>LN(1+Table1[[#This Row],[Redness]])</f>
        <v>4.8385231102447346</v>
      </c>
      <c r="O290">
        <f>LN(1+Table1[[#This Row],[Greeness]])</f>
        <v>3.7484061953623464</v>
      </c>
      <c r="P290">
        <f>LN(1+Table1[[#This Row],[Blueness]])</f>
        <v>2.9039928904101986</v>
      </c>
      <c r="Q290">
        <f>LN(1+Table1[[#This Row],[L* lab]])</f>
        <v>3.4182515343796931</v>
      </c>
      <c r="R290">
        <f>LN(1+Table1[[#This Row],[a* lab]]+128)</f>
        <v>5.1005681218842067</v>
      </c>
      <c r="S290">
        <f>LN(1+Table1[[#This Row],[b* lab]]+128)</f>
        <v>5.0925630556925654</v>
      </c>
      <c r="T290">
        <f>LN(1+Table1[[#This Row],[Hue]])</f>
        <v>2.6702512257073296</v>
      </c>
      <c r="U290">
        <f>LN(1+Table1[[#This Row],[Saturation]])</f>
        <v>4.4685901354965365</v>
      </c>
      <c r="V290">
        <f>LN(1+Table1[[#This Row],[Value]])</f>
        <v>3.9146290838539159</v>
      </c>
      <c r="W290" t="s">
        <v>26</v>
      </c>
    </row>
    <row r="291" spans="1:23" x14ac:dyDescent="0.3">
      <c r="A291">
        <v>1200</v>
      </c>
      <c r="B291">
        <v>123.5256222</v>
      </c>
      <c r="C291">
        <v>39.788629950000001</v>
      </c>
      <c r="D291">
        <v>14.936720340000001</v>
      </c>
      <c r="E291">
        <v>28.876524839999998</v>
      </c>
      <c r="F291">
        <v>35.154133469999998</v>
      </c>
      <c r="G291">
        <v>34.233347430000002</v>
      </c>
      <c r="H291">
        <v>13.73174008</v>
      </c>
      <c r="I291">
        <v>87.907998300000003</v>
      </c>
      <c r="J291">
        <v>48.441420479999998</v>
      </c>
      <c r="K291" t="s">
        <v>4</v>
      </c>
      <c r="L291" s="3">
        <v>32.880000000000003</v>
      </c>
      <c r="M291">
        <v>2</v>
      </c>
      <c r="N291">
        <f>LN(1+Table1[[#This Row],[Redness]])</f>
        <v>4.824511495533895</v>
      </c>
      <c r="O291">
        <f>LN(1+Table1[[#This Row],[Greeness]])</f>
        <v>3.7084033648761929</v>
      </c>
      <c r="P291">
        <f>LN(1+Table1[[#This Row],[Blueness]])</f>
        <v>2.768625901878893</v>
      </c>
      <c r="Q291">
        <f>LN(1+Table1[[#This Row],[L* lab]])</f>
        <v>3.3970730496186001</v>
      </c>
      <c r="R291">
        <f>LN(1+Table1[[#This Row],[a* lab]]+128)</f>
        <v>5.1008058246844783</v>
      </c>
      <c r="S291">
        <f>LN(1+Table1[[#This Row],[b* lab]]+128)</f>
        <v>5.095180756399154</v>
      </c>
      <c r="T291">
        <f>LN(1+Table1[[#This Row],[Hue]])</f>
        <v>2.6900043552015442</v>
      </c>
      <c r="U291">
        <f>LN(1+Table1[[#This Row],[Saturation]])</f>
        <v>4.4876021081016306</v>
      </c>
      <c r="V291">
        <f>LN(1+Table1[[#This Row],[Value]])</f>
        <v>3.9007885441282824</v>
      </c>
      <c r="W291" t="s">
        <v>26</v>
      </c>
    </row>
    <row r="292" spans="1:23" x14ac:dyDescent="0.3">
      <c r="A292">
        <v>1200</v>
      </c>
      <c r="B292">
        <v>127.28381109999999</v>
      </c>
      <c r="C292">
        <v>43.279001379999997</v>
      </c>
      <c r="D292">
        <v>16.101141640000002</v>
      </c>
      <c r="E292">
        <v>30.212078309999999</v>
      </c>
      <c r="F292">
        <v>34.981899640000002</v>
      </c>
      <c r="G292">
        <v>35.130917869999998</v>
      </c>
      <c r="H292">
        <v>14.6665986</v>
      </c>
      <c r="I292">
        <v>87.350204629999993</v>
      </c>
      <c r="J292">
        <v>49.915220040000001</v>
      </c>
      <c r="K292" t="s">
        <v>4</v>
      </c>
      <c r="L292" s="3">
        <v>32.880000000000003</v>
      </c>
      <c r="M292">
        <v>2</v>
      </c>
      <c r="N292">
        <f>LN(1+Table1[[#This Row],[Redness]])</f>
        <v>4.8542450836134536</v>
      </c>
      <c r="O292">
        <f>LN(1+Table1[[#This Row],[Greeness]])</f>
        <v>3.7905105551922698</v>
      </c>
      <c r="P292">
        <f>LN(1+Table1[[#This Row],[Blueness]])</f>
        <v>2.8391452238531922</v>
      </c>
      <c r="Q292">
        <f>LN(1+Table1[[#This Row],[L* lab]])</f>
        <v>3.4408051452222761</v>
      </c>
      <c r="R292">
        <f>LN(1+Table1[[#This Row],[a* lab]]+128)</f>
        <v>5.0997560536844162</v>
      </c>
      <c r="S292">
        <f>LN(1+Table1[[#This Row],[b* lab]]+128)</f>
        <v>5.1006643890635512</v>
      </c>
      <c r="T292">
        <f>LN(1+Table1[[#This Row],[Hue]])</f>
        <v>2.7515309683516596</v>
      </c>
      <c r="U292">
        <f>LN(1+Table1[[#This Row],[Saturation]])</f>
        <v>4.4813085148920555</v>
      </c>
      <c r="V292">
        <f>LN(1+Table1[[#This Row],[Value]])</f>
        <v>3.9301618973269488</v>
      </c>
      <c r="W292" t="s">
        <v>26</v>
      </c>
    </row>
    <row r="293" spans="1:23" x14ac:dyDescent="0.3">
      <c r="A293">
        <v>1200</v>
      </c>
      <c r="B293">
        <v>135.01351110862501</v>
      </c>
      <c r="C293">
        <v>48.198744723079997</v>
      </c>
      <c r="D293">
        <v>20.040442854247001</v>
      </c>
      <c r="E293">
        <v>32.5595005701079</v>
      </c>
      <c r="F293">
        <v>35.729070858528303</v>
      </c>
      <c r="G293">
        <v>35.868079851044001</v>
      </c>
      <c r="H293">
        <v>14.694729276876901</v>
      </c>
      <c r="I293">
        <v>85.156713065462299</v>
      </c>
      <c r="J293">
        <v>52.946474944558801</v>
      </c>
      <c r="K293" t="s">
        <v>4</v>
      </c>
      <c r="L293">
        <v>32.880000000000003</v>
      </c>
      <c r="M293">
        <v>2</v>
      </c>
      <c r="N293">
        <f>LN(1+Table1[[#This Row],[Redness]])</f>
        <v>4.9127542271884748</v>
      </c>
      <c r="O293">
        <f>LN(1+Table1[[#This Row],[Greeness]])</f>
        <v>3.8958681094142444</v>
      </c>
      <c r="P293">
        <f>LN(1+Table1[[#This Row],[Blueness]])</f>
        <v>3.0464464358536545</v>
      </c>
      <c r="Q293">
        <f>LN(1+Table1[[#This Row],[L* lab]])</f>
        <v>3.5133199997870768</v>
      </c>
      <c r="R293">
        <f>LN(1+Table1[[#This Row],[a* lab]]+128)</f>
        <v>5.1043021295528197</v>
      </c>
      <c r="S293">
        <f>LN(1+Table1[[#This Row],[b* lab]]+128)</f>
        <v>5.1051456380628819</v>
      </c>
      <c r="T293">
        <f>LN(1+Table1[[#This Row],[Hue]])</f>
        <v>2.7533249411408121</v>
      </c>
      <c r="U293">
        <f>LN(1+Table1[[#This Row],[Saturation]])</f>
        <v>4.4561678829266356</v>
      </c>
      <c r="V293">
        <f>LN(1+Table1[[#This Row],[Value]])</f>
        <v>3.9879923502656163</v>
      </c>
    </row>
    <row r="294" spans="1:23" x14ac:dyDescent="0.3">
      <c r="A294">
        <v>1200</v>
      </c>
      <c r="B294">
        <v>133.58468888642901</v>
      </c>
      <c r="C294">
        <v>45.667700847477597</v>
      </c>
      <c r="D294">
        <v>16.838180792782399</v>
      </c>
      <c r="E294">
        <v>31.822772122400998</v>
      </c>
      <c r="F294">
        <v>36.286331604311201</v>
      </c>
      <c r="G294">
        <v>36.644192929014203</v>
      </c>
      <c r="H294">
        <v>14.816470586805</v>
      </c>
      <c r="I294">
        <v>87.395126692178096</v>
      </c>
      <c r="J294">
        <v>52.386152504481998</v>
      </c>
      <c r="K294" t="s">
        <v>4</v>
      </c>
      <c r="L294">
        <v>32.880000000000003</v>
      </c>
      <c r="M294">
        <v>2</v>
      </c>
      <c r="N294">
        <f>LN(1+Table1[[#This Row],[Redness]])</f>
        <v>4.9021936580391765</v>
      </c>
      <c r="O294">
        <f>LN(1+Table1[[#This Row],[Greeness]])</f>
        <v>3.8430522947130199</v>
      </c>
      <c r="P294">
        <f>LN(1+Table1[[#This Row],[Blueness]])</f>
        <v>2.8813411484534681</v>
      </c>
      <c r="Q294">
        <f>LN(1+Table1[[#This Row],[L* lab]])</f>
        <v>3.4911225465191884</v>
      </c>
      <c r="R294">
        <f>LN(1+Table1[[#This Row],[a* lab]]+128)</f>
        <v>5.1076793129889326</v>
      </c>
      <c r="S294">
        <f>LN(1+Table1[[#This Row],[b* lab]]+128)</f>
        <v>5.1098420718622632</v>
      </c>
      <c r="T294">
        <f>LN(1+Table1[[#This Row],[Hue]])</f>
        <v>2.7610518392702033</v>
      </c>
      <c r="U294">
        <f>LN(1+Table1[[#This Row],[Saturation]])</f>
        <v>4.4818168402074612</v>
      </c>
      <c r="V294">
        <f>LN(1+Table1[[#This Row],[Value]])</f>
        <v>3.9775513959423709</v>
      </c>
    </row>
    <row r="295" spans="1:23" x14ac:dyDescent="0.3">
      <c r="A295">
        <v>1200</v>
      </c>
      <c r="B295">
        <v>132.0024167</v>
      </c>
      <c r="C295">
        <v>48.123028069999997</v>
      </c>
      <c r="D295">
        <v>19.972461030000002</v>
      </c>
      <c r="E295">
        <v>31.993838589999999</v>
      </c>
      <c r="F295">
        <v>34.582891920000002</v>
      </c>
      <c r="G295">
        <v>35.184322379999998</v>
      </c>
      <c r="H295">
        <v>15.0766285</v>
      </c>
      <c r="I295">
        <v>84.869624709999997</v>
      </c>
      <c r="J295">
        <v>51.765653589999999</v>
      </c>
      <c r="K295" t="s">
        <v>4</v>
      </c>
      <c r="L295" s="3">
        <v>32.880000000000003</v>
      </c>
      <c r="M295">
        <v>2</v>
      </c>
      <c r="N295">
        <f>LN(1+Table1[[#This Row],[Redness]])</f>
        <v>4.8903672987333611</v>
      </c>
      <c r="O295">
        <f>LN(1+Table1[[#This Row],[Greeness]])</f>
        <v>3.8943279283150485</v>
      </c>
      <c r="P295">
        <f>LN(1+Table1[[#This Row],[Blueness]])</f>
        <v>3.043210197589012</v>
      </c>
      <c r="Q295">
        <f>LN(1+Table1[[#This Row],[L* lab]])</f>
        <v>3.496320834640172</v>
      </c>
      <c r="R295">
        <f>LN(1+Table1[[#This Row],[a* lab]]+128)</f>
        <v>5.0973198460844129</v>
      </c>
      <c r="S295">
        <f>LN(1+Table1[[#This Row],[b* lab]]+128)</f>
        <v>5.1009897136536031</v>
      </c>
      <c r="T295">
        <f>LN(1+Table1[[#This Row],[Hue]])</f>
        <v>2.7773665713688995</v>
      </c>
      <c r="U295">
        <f>LN(1+Table1[[#This Row],[Saturation]])</f>
        <v>4.4528301542311493</v>
      </c>
      <c r="V295">
        <f>LN(1+Table1[[#This Row],[Value]])</f>
        <v>3.9658604788557756</v>
      </c>
      <c r="W295" t="s">
        <v>26</v>
      </c>
    </row>
    <row r="296" spans="1:23" x14ac:dyDescent="0.3">
      <c r="A296">
        <v>1200</v>
      </c>
      <c r="B296">
        <v>134.485844441968</v>
      </c>
      <c r="C296">
        <v>47.5907226375083</v>
      </c>
      <c r="D296">
        <v>17.279948738252099</v>
      </c>
      <c r="E296">
        <v>32.335311038521603</v>
      </c>
      <c r="F296">
        <v>35.736404957474903</v>
      </c>
      <c r="G296">
        <v>36.916162661558502</v>
      </c>
      <c r="H296">
        <v>15.516680479561501</v>
      </c>
      <c r="I296">
        <v>87.151102177368102</v>
      </c>
      <c r="J296">
        <v>52.739546839987497</v>
      </c>
      <c r="K296" t="s">
        <v>4</v>
      </c>
      <c r="L296">
        <v>32.880000000000003</v>
      </c>
      <c r="M296">
        <v>2</v>
      </c>
      <c r="N296">
        <f>LN(1+Table1[[#This Row],[Redness]])</f>
        <v>4.9088671657995162</v>
      </c>
      <c r="O296">
        <f>LN(1+Table1[[#This Row],[Greeness]])</f>
        <v>3.8834326204518672</v>
      </c>
      <c r="P296">
        <f>LN(1+Table1[[#This Row],[Blueness]])</f>
        <v>2.9058047617689047</v>
      </c>
      <c r="Q296">
        <f>LN(1+Table1[[#This Row],[L* lab]])</f>
        <v>3.5066172267156062</v>
      </c>
      <c r="R296">
        <f>LN(1+Table1[[#This Row],[a* lab]]+128)</f>
        <v>5.1043466507514657</v>
      </c>
      <c r="S296">
        <f>LN(1+Table1[[#This Row],[b* lab]]+128)</f>
        <v>5.1114826165712817</v>
      </c>
      <c r="T296">
        <f>LN(1+Table1[[#This Row],[Hue]])</f>
        <v>2.8043708084079313</v>
      </c>
      <c r="U296">
        <f>LN(1+Table1[[#This Row],[Saturation]])</f>
        <v>4.4790524121958661</v>
      </c>
      <c r="V296">
        <f>LN(1+Table1[[#This Row],[Value]])</f>
        <v>3.98414917069901</v>
      </c>
    </row>
    <row r="297" spans="1:23" x14ac:dyDescent="0.3">
      <c r="A297">
        <v>1200</v>
      </c>
      <c r="B297">
        <v>135.46724444194999</v>
      </c>
      <c r="C297">
        <v>47.5943448589165</v>
      </c>
      <c r="D297">
        <v>16.270260099504199</v>
      </c>
      <c r="E297">
        <v>32.503966845571497</v>
      </c>
      <c r="F297">
        <v>36.091126619329501</v>
      </c>
      <c r="G297">
        <v>37.633457186199699</v>
      </c>
      <c r="H297">
        <v>15.7675556637003</v>
      </c>
      <c r="I297">
        <v>87.989524577303698</v>
      </c>
      <c r="J297">
        <v>53.124409585078403</v>
      </c>
      <c r="K297" t="s">
        <v>4</v>
      </c>
      <c r="L297">
        <v>32.880000000000003</v>
      </c>
      <c r="M297">
        <v>2</v>
      </c>
      <c r="N297">
        <f>LN(1+Table1[[#This Row],[Redness]])</f>
        <v>4.9160846183699753</v>
      </c>
      <c r="O297">
        <f>LN(1+Table1[[#This Row],[Greeness]])</f>
        <v>3.8835071632083462</v>
      </c>
      <c r="P297">
        <f>LN(1+Table1[[#This Row],[Blueness]])</f>
        <v>2.8489859528155397</v>
      </c>
      <c r="Q297">
        <f>LN(1+Table1[[#This Row],[L* lab]])</f>
        <v>3.5116638451213609</v>
      </c>
      <c r="R297">
        <f>LN(1+Table1[[#This Row],[a* lab]]+128)</f>
        <v>5.1064976039900971</v>
      </c>
      <c r="S297">
        <f>LN(1+Table1[[#This Row],[b* lab]]+128)</f>
        <v>5.1157965330169901</v>
      </c>
      <c r="T297">
        <f>LN(1+Table1[[#This Row],[Hue]])</f>
        <v>2.8194458087238505</v>
      </c>
      <c r="U297">
        <f>LN(1+Table1[[#This Row],[Saturation]])</f>
        <v>4.4885186614261787</v>
      </c>
      <c r="V297">
        <f>LN(1+Table1[[#This Row],[Value]])</f>
        <v>3.9912852779043289</v>
      </c>
    </row>
    <row r="298" spans="1:23" x14ac:dyDescent="0.3">
      <c r="A298">
        <v>1200</v>
      </c>
      <c r="B298">
        <v>139.409044441877</v>
      </c>
      <c r="C298">
        <v>50.438899775169702</v>
      </c>
      <c r="D298">
        <v>17.891312909065199</v>
      </c>
      <c r="E298">
        <v>33.7504798976248</v>
      </c>
      <c r="F298">
        <v>36.290942204458602</v>
      </c>
      <c r="G298">
        <v>38.256211726355602</v>
      </c>
      <c r="H298">
        <v>16.0705370922675</v>
      </c>
      <c r="I298">
        <v>87.166318382933497</v>
      </c>
      <c r="J298">
        <v>54.670213506618602</v>
      </c>
      <c r="K298" t="s">
        <v>4</v>
      </c>
      <c r="L298">
        <v>32.880000000000003</v>
      </c>
      <c r="M298">
        <v>2</v>
      </c>
      <c r="N298">
        <f>LN(1+Table1[[#This Row],[Redness]])</f>
        <v>4.9445599086185776</v>
      </c>
      <c r="O298">
        <f>LN(1+Table1[[#This Row],[Greeness]])</f>
        <v>3.9403946911930392</v>
      </c>
      <c r="P298">
        <f>LN(1+Table1[[#This Row],[Blueness]])</f>
        <v>2.9387021819603132</v>
      </c>
      <c r="Q298">
        <f>LN(1+Table1[[#This Row],[L* lab]])</f>
        <v>3.5481933819190354</v>
      </c>
      <c r="R298">
        <f>LN(1+Table1[[#This Row],[a* lab]]+128)</f>
        <v>5.1077072072243386</v>
      </c>
      <c r="S298">
        <f>LN(1+Table1[[#This Row],[b* lab]]+128)</f>
        <v>5.1195268386855011</v>
      </c>
      <c r="T298">
        <f>LN(1+Table1[[#This Row],[Hue]])</f>
        <v>2.8373540004160804</v>
      </c>
      <c r="U298">
        <f>LN(1+Table1[[#This Row],[Saturation]])</f>
        <v>4.4792250123343527</v>
      </c>
      <c r="V298">
        <f>LN(1+Table1[[#This Row],[Value]])</f>
        <v>4.0194452374066465</v>
      </c>
    </row>
    <row r="299" spans="1:23" x14ac:dyDescent="0.3">
      <c r="A299">
        <v>1200</v>
      </c>
      <c r="B299">
        <v>138.59782221967001</v>
      </c>
      <c r="C299">
        <v>49.673188836149002</v>
      </c>
      <c r="D299">
        <v>16.944645089902401</v>
      </c>
      <c r="E299">
        <v>33.457018201986799</v>
      </c>
      <c r="F299">
        <v>36.322091857328701</v>
      </c>
      <c r="G299">
        <v>38.381530331731298</v>
      </c>
      <c r="H299">
        <v>16.141893463909302</v>
      </c>
      <c r="I299">
        <v>87.774234242262395</v>
      </c>
      <c r="J299">
        <v>54.352087144968699</v>
      </c>
      <c r="K299" t="s">
        <v>4</v>
      </c>
      <c r="L299">
        <v>32.880000000000003</v>
      </c>
      <c r="M299">
        <v>2</v>
      </c>
      <c r="N299">
        <f>LN(1+Table1[[#This Row],[Redness]])</f>
        <v>4.9387655900609584</v>
      </c>
      <c r="O299">
        <f>LN(1+Table1[[#This Row],[Greeness]])</f>
        <v>3.9253969509228104</v>
      </c>
      <c r="P299">
        <f>LN(1+Table1[[#This Row],[Blueness]])</f>
        <v>2.8872917467446086</v>
      </c>
      <c r="Q299">
        <f>LN(1+Table1[[#This Row],[L* lab]])</f>
        <v>3.5397126981042231</v>
      </c>
      <c r="R299">
        <f>LN(1+Table1[[#This Row],[a* lab]]+128)</f>
        <v>5.1078956429467874</v>
      </c>
      <c r="S299">
        <f>LN(1+Table1[[#This Row],[b* lab]]+128)</f>
        <v>5.1202758194218836</v>
      </c>
      <c r="T299">
        <f>LN(1+Table1[[#This Row],[Hue]])</f>
        <v>2.8415253775413416</v>
      </c>
      <c r="U299">
        <f>LN(1+Table1[[#This Row],[Saturation]])</f>
        <v>4.4860964529655609</v>
      </c>
      <c r="V299">
        <f>LN(1+Table1[[#This Row],[Value]])</f>
        <v>4.013714366573228</v>
      </c>
    </row>
    <row r="300" spans="1:23" x14ac:dyDescent="0.3">
      <c r="A300">
        <v>1200</v>
      </c>
      <c r="B300">
        <v>142.67895555292799</v>
      </c>
      <c r="C300">
        <v>54.043921187177702</v>
      </c>
      <c r="D300">
        <v>20.181795263760701</v>
      </c>
      <c r="E300">
        <v>35.018004206767401</v>
      </c>
      <c r="F300">
        <v>35.868490617975802</v>
      </c>
      <c r="G300">
        <v>38.542579033699198</v>
      </c>
      <c r="H300">
        <v>16.585915547829099</v>
      </c>
      <c r="I300">
        <v>85.855100224451704</v>
      </c>
      <c r="J300">
        <v>55.952531589383703</v>
      </c>
      <c r="K300" t="s">
        <v>4</v>
      </c>
      <c r="L300">
        <v>32.880000000000003</v>
      </c>
      <c r="M300">
        <v>2</v>
      </c>
      <c r="N300">
        <f>LN(1+Table1[[#This Row],[Redness]])</f>
        <v>4.9675813352688936</v>
      </c>
      <c r="O300">
        <f>LN(1+Table1[[#This Row],[Greeness]])</f>
        <v>4.0081314335870566</v>
      </c>
      <c r="P300">
        <f>LN(1+Table1[[#This Row],[Blueness]])</f>
        <v>3.0531420987983657</v>
      </c>
      <c r="Q300">
        <f>LN(1+Table1[[#This Row],[L* lab]])</f>
        <v>3.5840189302940062</v>
      </c>
      <c r="R300">
        <f>LN(1+Table1[[#This Row],[a* lab]]+128)</f>
        <v>5.1051481295483194</v>
      </c>
      <c r="S300">
        <f>LN(1+Table1[[#This Row],[b* lab]]+128)</f>
        <v>5.1212375221472293</v>
      </c>
      <c r="T300">
        <f>LN(1+Table1[[#This Row],[Hue]])</f>
        <v>2.8670983287065157</v>
      </c>
      <c r="U300">
        <f>LN(1+Table1[[#This Row],[Saturation]])</f>
        <v>4.4642412154816267</v>
      </c>
      <c r="V300">
        <f>LN(1+Table1[[#This Row],[Value]])</f>
        <v>4.0422181417477514</v>
      </c>
    </row>
    <row r="301" spans="1:23" x14ac:dyDescent="0.3">
      <c r="A301">
        <v>1200</v>
      </c>
      <c r="B301">
        <v>142.91477777514601</v>
      </c>
      <c r="C301">
        <v>54.117787837243199</v>
      </c>
      <c r="D301">
        <v>19.711316846180999</v>
      </c>
      <c r="E301">
        <v>35.070601158610998</v>
      </c>
      <c r="F301">
        <v>35.9125063267767</v>
      </c>
      <c r="G301">
        <v>38.809481984356701</v>
      </c>
      <c r="H301">
        <v>16.755927503156599</v>
      </c>
      <c r="I301">
        <v>86.207642657364801</v>
      </c>
      <c r="J301">
        <v>56.045010892214201</v>
      </c>
      <c r="K301" t="s">
        <v>4</v>
      </c>
      <c r="L301">
        <v>32.880000000000003</v>
      </c>
      <c r="M301">
        <v>2</v>
      </c>
      <c r="N301">
        <f>LN(1+Table1[[#This Row],[Redness]])</f>
        <v>4.9692213033748924</v>
      </c>
      <c r="O301">
        <f>LN(1+Table1[[#This Row],[Greeness]])</f>
        <v>4.0094724923231642</v>
      </c>
      <c r="P301">
        <f>LN(1+Table1[[#This Row],[Blueness]])</f>
        <v>3.0306802584261754</v>
      </c>
      <c r="Q301">
        <f>LN(1+Table1[[#This Row],[L* lab]])</f>
        <v>3.5854781612198963</v>
      </c>
      <c r="R301">
        <f>LN(1+Table1[[#This Row],[a* lab]]+128)</f>
        <v>5.1054150685743407</v>
      </c>
      <c r="S301">
        <f>LN(1+Table1[[#This Row],[b* lab]]+128)</f>
        <v>5.122829300090701</v>
      </c>
      <c r="T301">
        <f>LN(1+Table1[[#This Row],[Hue]])</f>
        <v>2.8767194040143997</v>
      </c>
      <c r="U301">
        <f>LN(1+Table1[[#This Row],[Saturation]])</f>
        <v>4.468291972227588</v>
      </c>
      <c r="V301">
        <f>LN(1+Table1[[#This Row],[Value]])</f>
        <v>4.043840620989049</v>
      </c>
    </row>
    <row r="302" spans="1:23" x14ac:dyDescent="0.3">
      <c r="A302">
        <v>1200</v>
      </c>
      <c r="B302">
        <v>142.283666664046</v>
      </c>
      <c r="C302">
        <v>53.840810121715002</v>
      </c>
      <c r="D302">
        <v>18.6276076326665</v>
      </c>
      <c r="E302">
        <v>34.899532570227699</v>
      </c>
      <c r="F302">
        <v>35.769436673938202</v>
      </c>
      <c r="G302">
        <v>39.119550382898602</v>
      </c>
      <c r="H302">
        <v>17.0860382086634</v>
      </c>
      <c r="I302">
        <v>86.908119484544102</v>
      </c>
      <c r="J302">
        <v>55.797516338841902</v>
      </c>
      <c r="K302" t="s">
        <v>4</v>
      </c>
      <c r="L302">
        <v>32.880000000000003</v>
      </c>
      <c r="M302">
        <v>2</v>
      </c>
      <c r="N302">
        <f>LN(1+Table1[[#This Row],[Redness]])</f>
        <v>4.9648263483242747</v>
      </c>
      <c r="O302">
        <f>LN(1+Table1[[#This Row],[Greeness]])</f>
        <v>4.0044346270451587</v>
      </c>
      <c r="P302">
        <f>LN(1+Table1[[#This Row],[Blueness]])</f>
        <v>2.9769371278437515</v>
      </c>
      <c r="Q302">
        <f>LN(1+Table1[[#This Row],[L* lab]])</f>
        <v>3.5807242750815487</v>
      </c>
      <c r="R302">
        <f>LN(1+Table1[[#This Row],[a* lab]]+128)</f>
        <v>5.1045471432004632</v>
      </c>
      <c r="S302">
        <f>LN(1+Table1[[#This Row],[b* lab]]+128)</f>
        <v>5.1246753357513422</v>
      </c>
      <c r="T302">
        <f>LN(1+Table1[[#This Row],[Hue]])</f>
        <v>2.8951402709259981</v>
      </c>
      <c r="U302">
        <f>LN(1+Table1[[#This Row],[Saturation]])</f>
        <v>4.4762921722629327</v>
      </c>
      <c r="V302">
        <f>LN(1+Table1[[#This Row],[Value]])</f>
        <v>4.0394925983422381</v>
      </c>
    </row>
    <row r="303" spans="1:23" x14ac:dyDescent="0.3">
      <c r="A303">
        <v>1200</v>
      </c>
      <c r="B303">
        <v>138.057644441902</v>
      </c>
      <c r="C303">
        <v>52.199143824006299</v>
      </c>
      <c r="D303">
        <v>17.7719155664591</v>
      </c>
      <c r="E303">
        <v>33.832246217198602</v>
      </c>
      <c r="F303">
        <v>34.902916359264502</v>
      </c>
      <c r="G303">
        <v>38.260958930050101</v>
      </c>
      <c r="H303">
        <v>17.172724601368198</v>
      </c>
      <c r="I303">
        <v>87.127177463948399</v>
      </c>
      <c r="J303">
        <v>54.1402527223146</v>
      </c>
      <c r="K303" t="s">
        <v>4</v>
      </c>
      <c r="L303">
        <v>32.880000000000003</v>
      </c>
      <c r="M303">
        <v>2</v>
      </c>
      <c r="N303">
        <f>LN(1+Table1[[#This Row],[Redness]])</f>
        <v>4.9348885553781292</v>
      </c>
      <c r="O303">
        <f>LN(1+Table1[[#This Row],[Greeness]])</f>
        <v>3.9740423026843801</v>
      </c>
      <c r="P303">
        <f>LN(1+Table1[[#This Row],[Blueness]])</f>
        <v>2.9323619000773458</v>
      </c>
      <c r="Q303">
        <f>LN(1+Table1[[#This Row],[L* lab]])</f>
        <v>3.5505435731741044</v>
      </c>
      <c r="R303">
        <f>LN(1+Table1[[#This Row],[a* lab]]+128)</f>
        <v>5.0992742791196353</v>
      </c>
      <c r="S303">
        <f>LN(1+Table1[[#This Row],[b* lab]]+128)</f>
        <v>5.1195552211071593</v>
      </c>
      <c r="T303">
        <f>LN(1+Table1[[#This Row],[Hue]])</f>
        <v>2.8999218217097247</v>
      </c>
      <c r="U303">
        <f>LN(1+Table1[[#This Row],[Saturation]])</f>
        <v>4.4787809696379375</v>
      </c>
      <c r="V303">
        <f>LN(1+Table1[[#This Row],[Value]])</f>
        <v>4.0098799888697796</v>
      </c>
    </row>
    <row r="304" spans="1:23" x14ac:dyDescent="0.3">
      <c r="A304">
        <v>1200</v>
      </c>
      <c r="B304">
        <v>142.561977775152</v>
      </c>
      <c r="C304">
        <v>54.1911211540951</v>
      </c>
      <c r="D304">
        <v>18.320503356691098</v>
      </c>
      <c r="E304">
        <v>35.011152269338403</v>
      </c>
      <c r="F304">
        <v>35.701119249964101</v>
      </c>
      <c r="G304">
        <v>39.374535549998001</v>
      </c>
      <c r="H304">
        <v>17.323016149947001</v>
      </c>
      <c r="I304">
        <v>87.149095682731001</v>
      </c>
      <c r="J304">
        <v>55.906657951040302</v>
      </c>
      <c r="K304" t="s">
        <v>4</v>
      </c>
      <c r="L304">
        <v>32.880000000000003</v>
      </c>
      <c r="M304">
        <v>2</v>
      </c>
      <c r="N304">
        <f>LN(1+Table1[[#This Row],[Redness]])</f>
        <v>4.9667668428294798</v>
      </c>
      <c r="O304">
        <f>LN(1+Table1[[#This Row],[Greeness]])</f>
        <v>4.0108020916878191</v>
      </c>
      <c r="P304">
        <f>LN(1+Table1[[#This Row],[Blueness]])</f>
        <v>2.961166882103941</v>
      </c>
      <c r="Q304">
        <f>LN(1+Table1[[#This Row],[L* lab]])</f>
        <v>3.5838286757419642</v>
      </c>
      <c r="R304">
        <f>LN(1+Table1[[#This Row],[a* lab]]+128)</f>
        <v>5.1041324328494175</v>
      </c>
      <c r="S304">
        <f>LN(1+Table1[[#This Row],[b* lab]]+128)</f>
        <v>5.1261908763005799</v>
      </c>
      <c r="T304">
        <f>LN(1+Table1[[#This Row],[Hue]])</f>
        <v>2.9081579827006405</v>
      </c>
      <c r="U304">
        <f>LN(1+Table1[[#This Row],[Saturation]])</f>
        <v>4.4790296499453239</v>
      </c>
      <c r="V304">
        <f>LN(1+Table1[[#This Row],[Value]])</f>
        <v>4.0414123457288138</v>
      </c>
    </row>
    <row r="305" spans="1:23" x14ac:dyDescent="0.3">
      <c r="A305">
        <v>1200</v>
      </c>
      <c r="B305">
        <v>140.541422219634</v>
      </c>
      <c r="C305">
        <v>53.711721261838299</v>
      </c>
      <c r="D305">
        <v>17.517565671899401</v>
      </c>
      <c r="E305">
        <v>34.557148880492299</v>
      </c>
      <c r="F305">
        <v>35.1187289788746</v>
      </c>
      <c r="G305">
        <v>39.194680228445399</v>
      </c>
      <c r="H305">
        <v>17.6522618972988</v>
      </c>
      <c r="I305">
        <v>87.535656466800603</v>
      </c>
      <c r="J305">
        <v>55.114283223386003</v>
      </c>
      <c r="K305" t="s">
        <v>4</v>
      </c>
      <c r="L305">
        <v>32.880000000000003</v>
      </c>
      <c r="M305">
        <v>2</v>
      </c>
      <c r="N305">
        <f>LN(1+Table1[[#This Row],[Redness]])</f>
        <v>4.9525924107788288</v>
      </c>
      <c r="O305">
        <f>LN(1+Table1[[#This Row],[Greeness]])</f>
        <v>4.0020779691388322</v>
      </c>
      <c r="P305">
        <f>LN(1+Table1[[#This Row],[Blueness]])</f>
        <v>2.9187197773766425</v>
      </c>
      <c r="Q305">
        <f>LN(1+Table1[[#This Row],[L* lab]])</f>
        <v>3.5711412297173593</v>
      </c>
      <c r="R305">
        <f>LN(1+Table1[[#This Row],[a* lab]]+128)</f>
        <v>5.1005901230818633</v>
      </c>
      <c r="S305">
        <f>LN(1+Table1[[#This Row],[b* lab]]+128)</f>
        <v>5.1251221193837804</v>
      </c>
      <c r="T305">
        <f>LN(1+Table1[[#This Row],[Hue]])</f>
        <v>2.9259674200923396</v>
      </c>
      <c r="U305">
        <f>LN(1+Table1[[#This Row],[Saturation]])</f>
        <v>4.4834053688022566</v>
      </c>
      <c r="V305">
        <f>LN(1+Table1[[#This Row],[Value]])</f>
        <v>4.027390383035236</v>
      </c>
    </row>
    <row r="306" spans="1:23" x14ac:dyDescent="0.3">
      <c r="A306">
        <v>50</v>
      </c>
      <c r="B306">
        <v>166.82468888581701</v>
      </c>
      <c r="C306">
        <v>124.824660835044</v>
      </c>
      <c r="D306">
        <v>4.8132039849497197</v>
      </c>
      <c r="E306">
        <v>54.898522216542403</v>
      </c>
      <c r="F306">
        <v>7.0547979813746204</v>
      </c>
      <c r="G306">
        <v>59.749981318177497</v>
      </c>
      <c r="H306">
        <v>44.445536780381303</v>
      </c>
      <c r="I306">
        <v>97.114813150801595</v>
      </c>
      <c r="J306">
        <v>65.421446621889103</v>
      </c>
      <c r="K306" t="s">
        <v>1</v>
      </c>
      <c r="L306">
        <v>1.1399999999999999</v>
      </c>
      <c r="M306">
        <v>0</v>
      </c>
      <c r="N306">
        <f>LN(1+Table1[[#This Row],[Redness]])</f>
        <v>5.1229199160219174</v>
      </c>
      <c r="O306">
        <f>LN(1+Table1[[#This Row],[Greeness]])</f>
        <v>4.8348893571296347</v>
      </c>
      <c r="P306">
        <f>LN(1+Table1[[#This Row],[Blueness]])</f>
        <v>1.7601318792698359</v>
      </c>
      <c r="Q306">
        <f>LN(1+Table1[[#This Row],[L* lab]])</f>
        <v>4.0235379436138006</v>
      </c>
      <c r="R306">
        <f>LN(1+Table1[[#This Row],[a* lab]]+128)</f>
        <v>4.9130577309166723</v>
      </c>
      <c r="S306">
        <f>LN(1+Table1[[#This Row],[b* lab]]+128)</f>
        <v>5.2404232891525862</v>
      </c>
      <c r="T306">
        <f>LN(1+Table1[[#This Row],[Hue]])</f>
        <v>3.8165146151498117</v>
      </c>
      <c r="U306">
        <f>LN(1+Table1[[#This Row],[Saturation]])</f>
        <v>4.5861383556897417</v>
      </c>
      <c r="V306">
        <f>LN(1+Table1[[#This Row],[Value]])</f>
        <v>4.1960199956254405</v>
      </c>
    </row>
    <row r="307" spans="1:23" x14ac:dyDescent="0.3">
      <c r="A307">
        <v>50</v>
      </c>
      <c r="B307">
        <v>165.222933330291</v>
      </c>
      <c r="C307">
        <v>123.22290563947701</v>
      </c>
      <c r="D307">
        <v>3.2187505833730099</v>
      </c>
      <c r="E307">
        <v>54.294779194378002</v>
      </c>
      <c r="F307">
        <v>7.1914261576995804</v>
      </c>
      <c r="G307">
        <v>59.527415917908499</v>
      </c>
      <c r="H307">
        <v>44.444835813989002</v>
      </c>
      <c r="I307">
        <v>98.051874205054503</v>
      </c>
      <c r="J307">
        <v>64.793307188349402</v>
      </c>
      <c r="K307" t="s">
        <v>1</v>
      </c>
      <c r="L307">
        <v>1.1399999999999999</v>
      </c>
      <c r="M307">
        <v>0</v>
      </c>
      <c r="N307">
        <f>LN(1+Table1[[#This Row],[Redness]])</f>
        <v>5.1133298592456162</v>
      </c>
      <c r="O307">
        <f>LN(1+Table1[[#This Row],[Greeness]])</f>
        <v>4.8220775779337215</v>
      </c>
      <c r="P307">
        <f>LN(1+Table1[[#This Row],[Blueness]])</f>
        <v>1.4395390139197033</v>
      </c>
      <c r="Q307">
        <f>LN(1+Table1[[#This Row],[L* lab]])</f>
        <v>4.0126784952899079</v>
      </c>
      <c r="R307">
        <f>LN(1+Table1[[#This Row],[a* lab]]+128)</f>
        <v>4.9140614413499559</v>
      </c>
      <c r="S307">
        <f>LN(1+Table1[[#This Row],[b* lab]]+128)</f>
        <v>5.239243438847649</v>
      </c>
      <c r="T307">
        <f>LN(1+Table1[[#This Row],[Hue]])</f>
        <v>3.8164991907132668</v>
      </c>
      <c r="U307">
        <f>LN(1+Table1[[#This Row],[Saturation]])</f>
        <v>4.5956436947732628</v>
      </c>
      <c r="V307">
        <f>LN(1+Table1[[#This Row],[Value]])</f>
        <v>4.1865181186952301</v>
      </c>
    </row>
    <row r="308" spans="1:23" x14ac:dyDescent="0.3">
      <c r="A308">
        <v>50</v>
      </c>
      <c r="B308">
        <v>166.60284444137599</v>
      </c>
      <c r="C308">
        <v>124.602816440458</v>
      </c>
      <c r="D308">
        <v>4.60025316898209</v>
      </c>
      <c r="E308">
        <v>54.8148101619486</v>
      </c>
      <c r="F308">
        <v>7.07384308241729</v>
      </c>
      <c r="G308">
        <v>59.718730783975801</v>
      </c>
      <c r="H308">
        <v>44.444682888942801</v>
      </c>
      <c r="I308">
        <v>97.238790739493695</v>
      </c>
      <c r="J308">
        <v>65.334448800539903</v>
      </c>
      <c r="K308" t="s">
        <v>1</v>
      </c>
      <c r="L308">
        <v>1.1399999999999999</v>
      </c>
      <c r="M308">
        <v>0</v>
      </c>
      <c r="N308">
        <f>LN(1+Table1[[#This Row],[Redness]])</f>
        <v>5.1215971595112215</v>
      </c>
      <c r="O308">
        <f>LN(1+Table1[[#This Row],[Greeness]])</f>
        <v>4.8331246776716839</v>
      </c>
      <c r="P308">
        <f>LN(1+Table1[[#This Row],[Blueness]])</f>
        <v>1.7228118054660206</v>
      </c>
      <c r="Q308">
        <f>LN(1+Table1[[#This Row],[L* lab]])</f>
        <v>4.0220392492595964</v>
      </c>
      <c r="R308">
        <f>LN(1+Table1[[#This Row],[a* lab]]+128)</f>
        <v>4.9131977022258244</v>
      </c>
      <c r="S308">
        <f>LN(1+Table1[[#This Row],[b* lab]]+128)</f>
        <v>5.2402577096845606</v>
      </c>
      <c r="T308">
        <f>LN(1+Table1[[#This Row],[Hue]])</f>
        <v>3.816495825637769</v>
      </c>
      <c r="U308">
        <f>LN(1+Table1[[#This Row],[Saturation]])</f>
        <v>4.5874011550752485</v>
      </c>
      <c r="V308">
        <f>LN(1+Table1[[#This Row],[Value]])</f>
        <v>4.1947093520035352</v>
      </c>
    </row>
    <row r="309" spans="1:23" x14ac:dyDescent="0.3">
      <c r="A309">
        <v>50</v>
      </c>
      <c r="B309">
        <v>167.04408888581301</v>
      </c>
      <c r="C309">
        <v>125.044060785735</v>
      </c>
      <c r="D309">
        <v>5.0439766264840902</v>
      </c>
      <c r="E309">
        <v>54.981042443000398</v>
      </c>
      <c r="F309">
        <v>7.0362751334317704</v>
      </c>
      <c r="G309">
        <v>59.7800922734369</v>
      </c>
      <c r="H309">
        <v>44.444444816367401</v>
      </c>
      <c r="I309">
        <v>96.980451891397294</v>
      </c>
      <c r="J309">
        <v>65.507485837573796</v>
      </c>
      <c r="K309" t="s">
        <v>1</v>
      </c>
      <c r="L309">
        <v>1.1399999999999999</v>
      </c>
      <c r="M309">
        <v>0</v>
      </c>
      <c r="N309">
        <f>LN(1+Table1[[#This Row],[Redness]])</f>
        <v>5.1242263788176459</v>
      </c>
      <c r="O309">
        <f>LN(1+Table1[[#This Row],[Greeness]])</f>
        <v>4.8366315346002828</v>
      </c>
      <c r="P309">
        <f>LN(1+Table1[[#This Row],[Blueness]])</f>
        <v>1.7990621771766901</v>
      </c>
      <c r="Q309">
        <f>LN(1+Table1[[#This Row],[L* lab]])</f>
        <v>4.0250131056181129</v>
      </c>
      <c r="R309">
        <f>LN(1+Table1[[#This Row],[a* lab]]+128)</f>
        <v>4.9129215790925098</v>
      </c>
      <c r="S309">
        <f>LN(1+Table1[[#This Row],[b* lab]]+128)</f>
        <v>5.2405828046848812</v>
      </c>
      <c r="T309">
        <f>LN(1+Table1[[#This Row],[Hue]])</f>
        <v>3.8164905868907062</v>
      </c>
      <c r="U309">
        <f>LN(1+Table1[[#This Row],[Saturation]])</f>
        <v>4.5847679882777408</v>
      </c>
      <c r="V309">
        <f>LN(1+Table1[[#This Row],[Value]])</f>
        <v>4.1973145103124674</v>
      </c>
    </row>
    <row r="310" spans="1:23" x14ac:dyDescent="0.3">
      <c r="A310">
        <v>50</v>
      </c>
      <c r="B310">
        <v>166.40799999693499</v>
      </c>
      <c r="C310">
        <v>124.40797203980399</v>
      </c>
      <c r="D310">
        <v>4.4079018945361099</v>
      </c>
      <c r="E310">
        <v>54.741447367898303</v>
      </c>
      <c r="F310">
        <v>7.0904832949420697</v>
      </c>
      <c r="G310">
        <v>59.690694005780401</v>
      </c>
      <c r="H310">
        <v>44.444443509935503</v>
      </c>
      <c r="I310">
        <v>97.351147844684505</v>
      </c>
      <c r="J310">
        <v>65.258039214484697</v>
      </c>
      <c r="K310" t="s">
        <v>1</v>
      </c>
      <c r="L310">
        <v>1.1399999999999999</v>
      </c>
      <c r="M310">
        <v>0</v>
      </c>
      <c r="N310">
        <f>LN(1+Table1[[#This Row],[Redness]])</f>
        <v>5.1204339466203832</v>
      </c>
      <c r="O310">
        <f>LN(1+Table1[[#This Row],[Greeness]])</f>
        <v>4.8315721990633493</v>
      </c>
      <c r="P310">
        <f>LN(1+Table1[[#This Row],[Blueness]])</f>
        <v>1.6878611977728826</v>
      </c>
      <c r="Q310">
        <f>LN(1+Table1[[#This Row],[L* lab]])</f>
        <v>4.0207239881303565</v>
      </c>
      <c r="R310">
        <f>LN(1+Table1[[#This Row],[a* lab]]+128)</f>
        <v>4.9133199828550822</v>
      </c>
      <c r="S310">
        <f>LN(1+Table1[[#This Row],[b* lab]]+128)</f>
        <v>5.2401091348138475</v>
      </c>
      <c r="T310">
        <f>LN(1+Table1[[#This Row],[Hue]])</f>
        <v>3.8164905581428159</v>
      </c>
      <c r="U310">
        <f>LN(1+Table1[[#This Row],[Saturation]])</f>
        <v>4.5885442157856149</v>
      </c>
      <c r="V310">
        <f>LN(1+Table1[[#This Row],[Value]])</f>
        <v>4.1935568041381552</v>
      </c>
    </row>
    <row r="311" spans="1:23" x14ac:dyDescent="0.3">
      <c r="A311">
        <v>50</v>
      </c>
      <c r="B311">
        <v>166.39751110804701</v>
      </c>
      <c r="C311">
        <v>124.397483153273</v>
      </c>
      <c r="D311">
        <v>4.3974132390903504</v>
      </c>
      <c r="E311">
        <v>54.7376821405336</v>
      </c>
      <c r="F311">
        <v>7.0913684847539296</v>
      </c>
      <c r="G311">
        <v>59.687586872359901</v>
      </c>
      <c r="H311">
        <v>44.444443488392899</v>
      </c>
      <c r="I311">
        <v>97.357284246736697</v>
      </c>
      <c r="J311">
        <v>65.253925924724399</v>
      </c>
      <c r="K311" t="s">
        <v>1</v>
      </c>
      <c r="L311">
        <v>1.1399999999999999</v>
      </c>
      <c r="M311">
        <v>0</v>
      </c>
      <c r="N311">
        <f>LN(1+Table1[[#This Row],[Redness]])</f>
        <v>5.1203712900120326</v>
      </c>
      <c r="O311">
        <f>LN(1+Table1[[#This Row],[Greeness]])</f>
        <v>4.831488557449342</v>
      </c>
      <c r="P311">
        <f>LN(1+Table1[[#This Row],[Blueness]])</f>
        <v>1.6859198090007177</v>
      </c>
      <c r="Q311">
        <f>LN(1+Table1[[#This Row],[L* lab]])</f>
        <v>4.0206564377757257</v>
      </c>
      <c r="R311">
        <f>LN(1+Table1[[#This Row],[a* lab]]+128)</f>
        <v>4.9133264872550351</v>
      </c>
      <c r="S311">
        <f>LN(1+Table1[[#This Row],[b* lab]]+128)</f>
        <v>5.2400926678703161</v>
      </c>
      <c r="T311">
        <f>LN(1+Table1[[#This Row],[Hue]])</f>
        <v>3.8164905576687729</v>
      </c>
      <c r="U311">
        <f>LN(1+Table1[[#This Row],[Saturation]])</f>
        <v>4.5886066066245732</v>
      </c>
      <c r="V311">
        <f>LN(1+Table1[[#This Row],[Value]])</f>
        <v>4.1934947223516952</v>
      </c>
    </row>
    <row r="312" spans="1:23" x14ac:dyDescent="0.3">
      <c r="A312">
        <v>50</v>
      </c>
      <c r="B312">
        <v>165.68017777472701</v>
      </c>
      <c r="C312">
        <v>123.680149981157</v>
      </c>
      <c r="D312">
        <v>3.6800958708930001</v>
      </c>
      <c r="E312">
        <v>54.467289481415499</v>
      </c>
      <c r="F312">
        <v>7.1525096914069604</v>
      </c>
      <c r="G312">
        <v>59.588480550068802</v>
      </c>
      <c r="H312">
        <v>44.444442015096698</v>
      </c>
      <c r="I312">
        <v>97.778795314973195</v>
      </c>
      <c r="J312">
        <v>64.972618735187098</v>
      </c>
      <c r="K312" t="s">
        <v>1</v>
      </c>
      <c r="L312">
        <v>1.1399999999999999</v>
      </c>
      <c r="M312">
        <v>0</v>
      </c>
      <c r="N312">
        <f>LN(1+Table1[[#This Row],[Redness]])</f>
        <v>5.1160768731167208</v>
      </c>
      <c r="O312">
        <f>LN(1+Table1[[#This Row],[Greeness]])</f>
        <v>4.8257516578271664</v>
      </c>
      <c r="P312">
        <f>LN(1+Table1[[#This Row],[Blueness]])</f>
        <v>1.5433185949532828</v>
      </c>
      <c r="Q312">
        <f>LN(1+Table1[[#This Row],[L* lab]])</f>
        <v>4.0157934682872467</v>
      </c>
      <c r="R312">
        <f>LN(1+Table1[[#This Row],[a* lab]]+128)</f>
        <v>4.9137756522323377</v>
      </c>
      <c r="S312">
        <f>LN(1+Table1[[#This Row],[b* lab]]+128)</f>
        <v>5.2395672895962697</v>
      </c>
      <c r="T312">
        <f>LN(1+Table1[[#This Row],[Hue]])</f>
        <v>3.8164905252490509</v>
      </c>
      <c r="U312">
        <f>LN(1+Table1[[#This Row],[Saturation]])</f>
        <v>4.5928829594010718</v>
      </c>
      <c r="V312">
        <f>LN(1+Table1[[#This Row],[Value]])</f>
        <v>4.1892397882963532</v>
      </c>
    </row>
    <row r="313" spans="1:23" x14ac:dyDescent="0.3">
      <c r="A313">
        <v>50</v>
      </c>
      <c r="B313">
        <v>165.675199996949</v>
      </c>
      <c r="C313">
        <v>123.675172204498</v>
      </c>
      <c r="D313">
        <v>3.67511820390179</v>
      </c>
      <c r="E313">
        <v>54.465433090598403</v>
      </c>
      <c r="F313">
        <v>7.1529331098487896</v>
      </c>
      <c r="G313">
        <v>59.587613918787298</v>
      </c>
      <c r="H313">
        <v>44.444442004873103</v>
      </c>
      <c r="I313">
        <v>97.7817330511932</v>
      </c>
      <c r="J313">
        <v>64.970666665470304</v>
      </c>
      <c r="K313" t="s">
        <v>1</v>
      </c>
      <c r="L313">
        <v>1.1399999999999999</v>
      </c>
      <c r="M313">
        <v>0</v>
      </c>
      <c r="N313">
        <f>LN(1+Table1[[#This Row],[Redness]])</f>
        <v>5.1160470084251015</v>
      </c>
      <c r="O313">
        <f>LN(1+Table1[[#This Row],[Greeness]])</f>
        <v>4.8257117326584069</v>
      </c>
      <c r="P313">
        <f>LN(1+Table1[[#This Row],[Blueness]])</f>
        <v>1.5422544466780763</v>
      </c>
      <c r="Q313">
        <f>LN(1+Table1[[#This Row],[L* lab]])</f>
        <v>4.0157599995185329</v>
      </c>
      <c r="R313">
        <f>LN(1+Table1[[#This Row],[a* lab]]+128)</f>
        <v>4.913778762110991</v>
      </c>
      <c r="S313">
        <f>LN(1+Table1[[#This Row],[b* lab]]+128)</f>
        <v>5.239562694229309</v>
      </c>
      <c r="T313">
        <f>LN(1+Table1[[#This Row],[Hue]])</f>
        <v>3.8164905250240819</v>
      </c>
      <c r="U313">
        <f>LN(1+Table1[[#This Row],[Saturation]])</f>
        <v>4.5929126995140841</v>
      </c>
      <c r="V313">
        <f>LN(1+Table1[[#This Row],[Value]])</f>
        <v>4.1892101987691408</v>
      </c>
    </row>
    <row r="314" spans="1:23" x14ac:dyDescent="0.3">
      <c r="A314">
        <v>50</v>
      </c>
      <c r="B314">
        <v>166.25477777471599</v>
      </c>
      <c r="C314">
        <v>124.265416516288</v>
      </c>
      <c r="D314">
        <v>4.3057041691228601</v>
      </c>
      <c r="E314">
        <v>54.686167685189197</v>
      </c>
      <c r="F314">
        <v>7.0985244383232997</v>
      </c>
      <c r="G314">
        <v>59.6637281136775</v>
      </c>
      <c r="H314">
        <v>44.443494368845201</v>
      </c>
      <c r="I314">
        <v>97.410177183023606</v>
      </c>
      <c r="J314">
        <v>65.197952068516301</v>
      </c>
      <c r="K314" t="s">
        <v>1</v>
      </c>
      <c r="L314">
        <v>1.1399999999999999</v>
      </c>
      <c r="M314">
        <v>0</v>
      </c>
      <c r="N314">
        <f>LN(1+Table1[[#This Row],[Redness]])</f>
        <v>5.1195182652652873</v>
      </c>
      <c r="O314">
        <f>LN(1+Table1[[#This Row],[Greeness]])</f>
        <v>4.8304348183489063</v>
      </c>
      <c r="P314">
        <f>LN(1+Table1[[#This Row],[Blueness]])</f>
        <v>1.6687825001323726</v>
      </c>
      <c r="Q314">
        <f>LN(1+Table1[[#This Row],[L* lab]])</f>
        <v>4.019731780099737</v>
      </c>
      <c r="R314">
        <f>LN(1+Table1[[#This Row],[a* lab]]+128)</f>
        <v>4.9133790678523095</v>
      </c>
      <c r="S314">
        <f>LN(1+Table1[[#This Row],[b* lab]]+128)</f>
        <v>5.2399662140445757</v>
      </c>
      <c r="T314">
        <f>LN(1+Table1[[#This Row],[Hue]])</f>
        <v>3.8164696721790126</v>
      </c>
      <c r="U314">
        <f>LN(1+Table1[[#This Row],[Saturation]])</f>
        <v>4.589144225366784</v>
      </c>
      <c r="V314">
        <f>LN(1+Table1[[#This Row],[Value]])</f>
        <v>4.1926495269435478</v>
      </c>
    </row>
    <row r="315" spans="1:23" x14ac:dyDescent="0.3">
      <c r="A315">
        <v>50</v>
      </c>
      <c r="B315">
        <v>164.54559999697</v>
      </c>
      <c r="C315">
        <v>122.545572458371</v>
      </c>
      <c r="D315">
        <v>4.2788381004069196</v>
      </c>
      <c r="E315">
        <v>54.042962013427299</v>
      </c>
      <c r="F315">
        <v>7.2754752877209903</v>
      </c>
      <c r="G315">
        <v>59.120151809150101</v>
      </c>
      <c r="H315">
        <v>44.276205356028001</v>
      </c>
      <c r="I315">
        <v>97.399603453094002</v>
      </c>
      <c r="J315">
        <v>64.527686273321606</v>
      </c>
      <c r="K315" t="s">
        <v>1</v>
      </c>
      <c r="L315">
        <v>1.1399999999999999</v>
      </c>
      <c r="M315">
        <v>0</v>
      </c>
      <c r="N315">
        <f>LN(1+Table1[[#This Row],[Redness]])</f>
        <v>5.1092466855486594</v>
      </c>
      <c r="O315">
        <f>LN(1+Table1[[#This Row],[Greeness]])</f>
        <v>4.8166100957615017</v>
      </c>
      <c r="P315">
        <f>LN(1+Table1[[#This Row],[Blueness]])</f>
        <v>1.6637060167610191</v>
      </c>
      <c r="Q315">
        <f>LN(1+Table1[[#This Row],[L* lab]])</f>
        <v>4.0081140078280102</v>
      </c>
      <c r="R315">
        <f>LN(1+Table1[[#This Row],[a* lab]]+128)</f>
        <v>4.9146783906545615</v>
      </c>
      <c r="S315">
        <f>LN(1+Table1[[#This Row],[b* lab]]+128)</f>
        <v>5.2370808640569075</v>
      </c>
      <c r="T315">
        <f>LN(1+Table1[[#This Row],[Hue]])</f>
        <v>3.8127816264085315</v>
      </c>
      <c r="U315">
        <f>LN(1+Table1[[#This Row],[Saturation]])</f>
        <v>4.5890367741018556</v>
      </c>
      <c r="V315">
        <f>LN(1+Table1[[#This Row],[Value]])</f>
        <v>4.1824727445281979</v>
      </c>
    </row>
    <row r="316" spans="1:23" x14ac:dyDescent="0.3">
      <c r="A316">
        <v>50</v>
      </c>
      <c r="B316">
        <v>162.836266663668</v>
      </c>
      <c r="C316">
        <v>120.83623950920401</v>
      </c>
      <c r="D316">
        <v>2.6210083316028601</v>
      </c>
      <c r="E316">
        <v>53.397129860582098</v>
      </c>
      <c r="F316">
        <v>7.4224220055088601</v>
      </c>
      <c r="G316">
        <v>58.881385423376599</v>
      </c>
      <c r="H316">
        <v>44.271150853529498</v>
      </c>
      <c r="I316">
        <v>98.390402589481795</v>
      </c>
      <c r="J316">
        <v>63.8573594759484</v>
      </c>
      <c r="K316" t="s">
        <v>1</v>
      </c>
      <c r="L316">
        <v>1.1399999999999999</v>
      </c>
      <c r="M316">
        <v>0</v>
      </c>
      <c r="N316">
        <f>LN(1+Table1[[#This Row],[Redness]])</f>
        <v>5.0988675551148912</v>
      </c>
      <c r="O316">
        <f>LN(1+Table1[[#This Row],[Greeness]])</f>
        <v>4.8026778439379454</v>
      </c>
      <c r="P316">
        <f>LN(1+Table1[[#This Row],[Blueness]])</f>
        <v>1.2867525316929973</v>
      </c>
      <c r="Q316">
        <f>LN(1+Table1[[#This Row],[L* lab]])</f>
        <v>3.9963113925542735</v>
      </c>
      <c r="R316">
        <f>LN(1+Table1[[#This Row],[a* lab]]+128)</f>
        <v>4.9157561161043688</v>
      </c>
      <c r="S316">
        <f>LN(1+Table1[[#This Row],[b* lab]]+128)</f>
        <v>5.2358108351116819</v>
      </c>
      <c r="T316">
        <f>LN(1+Table1[[#This Row],[Hue]])</f>
        <v>3.8126699831156659</v>
      </c>
      <c r="U316">
        <f>LN(1+Table1[[#This Row],[Saturation]])</f>
        <v>4.5990555555752097</v>
      </c>
      <c r="V316">
        <f>LN(1+Table1[[#This Row],[Value]])</f>
        <v>4.1721903889179872</v>
      </c>
    </row>
    <row r="317" spans="1:23" x14ac:dyDescent="0.3">
      <c r="A317">
        <v>50</v>
      </c>
      <c r="B317">
        <v>162.286044441456</v>
      </c>
      <c r="C317">
        <v>119.593395344084</v>
      </c>
      <c r="D317">
        <v>4.5607873806946504</v>
      </c>
      <c r="E317">
        <v>53.013304157633598</v>
      </c>
      <c r="F317">
        <v>7.89923130007009</v>
      </c>
      <c r="G317">
        <v>58.215955771669599</v>
      </c>
      <c r="H317">
        <v>43.759361096773901</v>
      </c>
      <c r="I317">
        <v>97.189661380686402</v>
      </c>
      <c r="J317">
        <v>63.641586055472999</v>
      </c>
      <c r="K317" t="s">
        <v>1</v>
      </c>
      <c r="L317">
        <v>1.1399999999999999</v>
      </c>
      <c r="M317">
        <v>0</v>
      </c>
      <c r="N317">
        <f>LN(1+Table1[[#This Row],[Redness]])</f>
        <v>5.0955035366886277</v>
      </c>
      <c r="O317">
        <f>LN(1+Table1[[#This Row],[Greeness]])</f>
        <v>4.7924245178190015</v>
      </c>
      <c r="P317">
        <f>LN(1+Table1[[#This Row],[Blueness]])</f>
        <v>1.7157397134688512</v>
      </c>
      <c r="Q317">
        <f>LN(1+Table1[[#This Row],[L* lab]])</f>
        <v>3.9892303895088705</v>
      </c>
      <c r="R317">
        <f>LN(1+Table1[[#This Row],[a* lab]]+128)</f>
        <v>4.9192451172316707</v>
      </c>
      <c r="S317">
        <f>LN(1+Table1[[#This Row],[b* lab]]+128)</f>
        <v>5.2322627942343169</v>
      </c>
      <c r="T317">
        <f>LN(1+Table1[[#This Row],[Hue]])</f>
        <v>3.8013006093645023</v>
      </c>
      <c r="U317">
        <f>LN(1+Table1[[#This Row],[Saturation]])</f>
        <v>4.5869009285622209</v>
      </c>
      <c r="V317">
        <f>LN(1+Table1[[#This Row],[Value]])</f>
        <v>4.1688579506610921</v>
      </c>
    </row>
    <row r="318" spans="1:23" x14ac:dyDescent="0.3">
      <c r="A318">
        <v>50</v>
      </c>
      <c r="B318">
        <v>177.40604440000001</v>
      </c>
      <c r="C318">
        <v>121.8285948</v>
      </c>
      <c r="D318">
        <v>5.0839757360000002</v>
      </c>
      <c r="E318">
        <v>55.366371610000002</v>
      </c>
      <c r="F318">
        <v>13.572069559999999</v>
      </c>
      <c r="G318">
        <v>60.603553480000002</v>
      </c>
      <c r="H318">
        <v>40.648752649999999</v>
      </c>
      <c r="I318">
        <v>97.134271409999997</v>
      </c>
      <c r="J318">
        <v>69.570997820000002</v>
      </c>
      <c r="K318" t="s">
        <v>1</v>
      </c>
      <c r="L318" s="3">
        <v>1.1399999999999999</v>
      </c>
      <c r="M318">
        <v>0</v>
      </c>
      <c r="N318">
        <f>LN(1+Table1[[#This Row],[Redness]])</f>
        <v>5.1840621007378749</v>
      </c>
      <c r="O318">
        <f>LN(1+Table1[[#This Row],[Greeness]])</f>
        <v>4.8107898452836579</v>
      </c>
      <c r="P318">
        <f>LN(1+Table1[[#This Row],[Blueness]])</f>
        <v>1.8056583862234132</v>
      </c>
      <c r="Q318">
        <f>LN(1+Table1[[#This Row],[L* lab]])</f>
        <v>4.0318727326278099</v>
      </c>
      <c r="R318">
        <f>LN(1+Table1[[#This Row],[a* lab]]+128)</f>
        <v>4.9598476231578674</v>
      </c>
      <c r="S318">
        <f>LN(1+Table1[[#This Row],[b* lab]]+128)</f>
        <v>5.2449353316284153</v>
      </c>
      <c r="T318">
        <f>LN(1+Table1[[#This Row],[Hue]])</f>
        <v>3.7292714197850381</v>
      </c>
      <c r="U318">
        <f>LN(1+Table1[[#This Row],[Saturation]])</f>
        <v>4.5863366573460853</v>
      </c>
      <c r="V318">
        <f>LN(1+Table1[[#This Row],[Value]])</f>
        <v>4.2566192643487986</v>
      </c>
      <c r="W318" t="s">
        <v>26</v>
      </c>
    </row>
    <row r="319" spans="1:23" x14ac:dyDescent="0.3">
      <c r="A319">
        <v>50</v>
      </c>
      <c r="B319">
        <v>176.76228889999999</v>
      </c>
      <c r="C319">
        <v>120.53817290000001</v>
      </c>
      <c r="D319">
        <v>5.7466109879999996</v>
      </c>
      <c r="E319">
        <v>54.963961689999998</v>
      </c>
      <c r="F319">
        <v>14.013191259999999</v>
      </c>
      <c r="G319">
        <v>60.172604939999999</v>
      </c>
      <c r="H319">
        <v>40.274048550000003</v>
      </c>
      <c r="I319">
        <v>96.748960980000007</v>
      </c>
      <c r="J319">
        <v>69.318544660000001</v>
      </c>
      <c r="K319" t="s">
        <v>1</v>
      </c>
      <c r="L319" s="3">
        <v>1.1399999999999999</v>
      </c>
      <c r="M319">
        <v>0</v>
      </c>
      <c r="N319">
        <f>LN(1+Table1[[#This Row],[Redness]])</f>
        <v>5.1804472021585557</v>
      </c>
      <c r="O319">
        <f>LN(1+Table1[[#This Row],[Greeness]])</f>
        <v>4.8002283936832377</v>
      </c>
      <c r="P319">
        <f>LN(1+Table1[[#This Row],[Blueness]])</f>
        <v>1.9090403029503022</v>
      </c>
      <c r="Q319">
        <f>LN(1+Table1[[#This Row],[L* lab]])</f>
        <v>4.0247079423235963</v>
      </c>
      <c r="R319">
        <f>LN(1+Table1[[#This Row],[a* lab]]+128)</f>
        <v>4.9629368725788803</v>
      </c>
      <c r="S319">
        <f>LN(1+Table1[[#This Row],[b* lab]]+128)</f>
        <v>5.2426598519480407</v>
      </c>
      <c r="T319">
        <f>LN(1+Table1[[#This Row],[Hue]])</f>
        <v>3.7202339380565532</v>
      </c>
      <c r="U319">
        <f>LN(1+Table1[[#This Row],[Saturation]])</f>
        <v>4.5824025694483694</v>
      </c>
      <c r="V319">
        <f>LN(1+Table1[[#This Row],[Value]])</f>
        <v>4.2530355572014376</v>
      </c>
      <c r="W319" t="s">
        <v>26</v>
      </c>
    </row>
    <row r="320" spans="1:23" x14ac:dyDescent="0.3">
      <c r="A320">
        <v>50</v>
      </c>
      <c r="B320">
        <v>178.45599999999999</v>
      </c>
      <c r="C320">
        <v>122.4344614</v>
      </c>
      <c r="D320">
        <v>8.1650627169999996</v>
      </c>
      <c r="E320">
        <v>55.6505905</v>
      </c>
      <c r="F320">
        <v>13.74881635</v>
      </c>
      <c r="G320">
        <v>60.31928594</v>
      </c>
      <c r="H320">
        <v>40.261472679999997</v>
      </c>
      <c r="I320">
        <v>95.424607339999994</v>
      </c>
      <c r="J320">
        <v>69.982745100000002</v>
      </c>
      <c r="K320" t="s">
        <v>1</v>
      </c>
      <c r="L320" s="3">
        <v>1.1399999999999999</v>
      </c>
      <c r="M320">
        <v>0</v>
      </c>
      <c r="N320">
        <f>LN(1+Table1[[#This Row],[Redness]])</f>
        <v>5.1899300525320156</v>
      </c>
      <c r="O320">
        <f>LN(1+Table1[[#This Row],[Greeness]])</f>
        <v>4.8157103382861211</v>
      </c>
      <c r="P320">
        <f>LN(1+Table1[[#This Row],[Blueness]])</f>
        <v>2.2153987243669997</v>
      </c>
      <c r="Q320">
        <f>LN(1+Table1[[#This Row],[L* lab]])</f>
        <v>4.0369024110737053</v>
      </c>
      <c r="R320">
        <f>LN(1+Table1[[#This Row],[a* lab]]+128)</f>
        <v>4.9610865567329157</v>
      </c>
      <c r="S320">
        <f>LN(1+Table1[[#This Row],[b* lab]]+128)</f>
        <v>5.2434349333216588</v>
      </c>
      <c r="T320">
        <f>LN(1+Table1[[#This Row],[Hue]])</f>
        <v>3.7199291996866992</v>
      </c>
      <c r="U320">
        <f>LN(1+Table1[[#This Row],[Saturation]])</f>
        <v>4.568761431905549</v>
      </c>
      <c r="V320">
        <f>LN(1+Table1[[#This Row],[Value]])</f>
        <v>4.2624368207449637</v>
      </c>
      <c r="W320" t="s">
        <v>26</v>
      </c>
    </row>
    <row r="321" spans="1:23" x14ac:dyDescent="0.3">
      <c r="A321">
        <v>50</v>
      </c>
      <c r="B321">
        <v>173.79777780000001</v>
      </c>
      <c r="C321">
        <v>114.1485077</v>
      </c>
      <c r="D321">
        <v>6.3906799870000004</v>
      </c>
      <c r="E321">
        <v>53.018171209999998</v>
      </c>
      <c r="F321">
        <v>16.263552300000001</v>
      </c>
      <c r="G321">
        <v>58.532249030000003</v>
      </c>
      <c r="H321">
        <v>38.621239760000002</v>
      </c>
      <c r="I321">
        <v>96.322921919999999</v>
      </c>
      <c r="J321">
        <v>68.155991279999995</v>
      </c>
      <c r="K321" t="s">
        <v>1</v>
      </c>
      <c r="L321" s="3">
        <v>1.1399999999999999</v>
      </c>
      <c r="M321">
        <v>0</v>
      </c>
      <c r="N321">
        <f>LN(1+Table1[[#This Row],[Redness]])</f>
        <v>5.1636297503259811</v>
      </c>
      <c r="O321">
        <f>LN(1+Table1[[#This Row],[Greeness]])</f>
        <v>4.7462226665648277</v>
      </c>
      <c r="P321">
        <f>LN(1+Table1[[#This Row],[Blueness]])</f>
        <v>2.0002197452060635</v>
      </c>
      <c r="Q321">
        <f>LN(1+Table1[[#This Row],[L* lab]])</f>
        <v>3.9893204938484277</v>
      </c>
      <c r="R321">
        <f>LN(1+Table1[[#This Row],[a* lab]]+128)</f>
        <v>4.9785496946497654</v>
      </c>
      <c r="S321">
        <f>LN(1+Table1[[#This Row],[b* lab]]+128)</f>
        <v>5.2339508254477174</v>
      </c>
      <c r="T321">
        <f>LN(1+Table1[[#This Row],[Hue]])</f>
        <v>3.6793653320478801</v>
      </c>
      <c r="U321">
        <f>LN(1+Table1[[#This Row],[Saturation]])</f>
        <v>4.5780345413034977</v>
      </c>
      <c r="V321">
        <f>LN(1+Table1[[#This Row],[Value]])</f>
        <v>4.2363646961507868</v>
      </c>
      <c r="W321" t="s">
        <v>26</v>
      </c>
    </row>
    <row r="322" spans="1:23" x14ac:dyDescent="0.3">
      <c r="A322">
        <v>100</v>
      </c>
      <c r="B322">
        <v>174.84551110000001</v>
      </c>
      <c r="C322">
        <v>115.2540185</v>
      </c>
      <c r="D322">
        <v>26.2346161</v>
      </c>
      <c r="E322">
        <v>53.484317529999998</v>
      </c>
      <c r="F322">
        <v>16.506293190000001</v>
      </c>
      <c r="G322">
        <v>54.002676899999997</v>
      </c>
      <c r="H322">
        <v>35.940596050000003</v>
      </c>
      <c r="I322">
        <v>84.995544960000004</v>
      </c>
      <c r="J322">
        <v>68.566867099999996</v>
      </c>
      <c r="K322" t="s">
        <v>1</v>
      </c>
      <c r="L322">
        <v>2.2799999999999998</v>
      </c>
      <c r="M322">
        <v>0</v>
      </c>
      <c r="N322">
        <f>LN(1+Table1[[#This Row],[Redness]])</f>
        <v>5.1696058317246845</v>
      </c>
      <c r="O322">
        <f>LN(1+Table1[[#This Row],[Greeness]])</f>
        <v>4.7557776116119506</v>
      </c>
      <c r="P322">
        <f>LN(1+Table1[[#This Row],[Blueness]])</f>
        <v>3.3044888149037224</v>
      </c>
      <c r="Q322">
        <f>LN(1+Table1[[#This Row],[L* lab]])</f>
        <v>3.9979129085176024</v>
      </c>
      <c r="R322">
        <f>LN(1+Table1[[#This Row],[a* lab]]+128)</f>
        <v>4.9802193378411479</v>
      </c>
      <c r="S322">
        <f>LN(1+Table1[[#This Row],[b* lab]]+128)</f>
        <v>5.2095007806032871</v>
      </c>
      <c r="T322">
        <f>LN(1+Table1[[#This Row],[Hue]])</f>
        <v>3.6093111102662547</v>
      </c>
      <c r="U322">
        <f>LN(1+Table1[[#This Row],[Saturation]])</f>
        <v>4.4542954921209992</v>
      </c>
      <c r="V322">
        <f>LN(1+Table1[[#This Row],[Value]])</f>
        <v>4.2422884065800375</v>
      </c>
      <c r="W322" t="s">
        <v>26</v>
      </c>
    </row>
    <row r="323" spans="1:23" x14ac:dyDescent="0.3">
      <c r="A323">
        <v>100</v>
      </c>
      <c r="B323">
        <v>170.7393778</v>
      </c>
      <c r="C323">
        <v>108.1878868</v>
      </c>
      <c r="D323">
        <v>23.536898369999999</v>
      </c>
      <c r="E323">
        <v>51.219429699999999</v>
      </c>
      <c r="F323">
        <v>18.56175176</v>
      </c>
      <c r="G323">
        <v>52.769077969999998</v>
      </c>
      <c r="H323">
        <v>34.503897799999997</v>
      </c>
      <c r="I323">
        <v>86.21472172</v>
      </c>
      <c r="J323">
        <v>66.956618739999996</v>
      </c>
      <c r="K323" t="s">
        <v>1</v>
      </c>
      <c r="L323">
        <v>2.2799999999999998</v>
      </c>
      <c r="M323">
        <v>0</v>
      </c>
      <c r="N323">
        <f>LN(1+Table1[[#This Row],[Redness]])</f>
        <v>5.1459780823194112</v>
      </c>
      <c r="O323">
        <f>LN(1+Table1[[#This Row],[Greeness]])</f>
        <v>4.693070130418052</v>
      </c>
      <c r="P323">
        <f>LN(1+Table1[[#This Row],[Blueness]])</f>
        <v>3.2001780405042304</v>
      </c>
      <c r="Q323">
        <f>LN(1+Table1[[#This Row],[L* lab]])</f>
        <v>3.9554546421083217</v>
      </c>
      <c r="R323">
        <f>LN(1+Table1[[#This Row],[a* lab]]+128)</f>
        <v>4.9942467441679037</v>
      </c>
      <c r="S323">
        <f>LN(1+Table1[[#This Row],[b* lab]]+128)</f>
        <v>5.2027370791029277</v>
      </c>
      <c r="T323">
        <f>LN(1+Table1[[#This Row],[Hue]])</f>
        <v>3.569642487637199</v>
      </c>
      <c r="U323">
        <f>LN(1+Table1[[#This Row],[Saturation]])</f>
        <v>4.4683731437294689</v>
      </c>
      <c r="V323">
        <f>LN(1+Table1[[#This Row],[Value]])</f>
        <v>4.218869541887341</v>
      </c>
      <c r="W323" t="s">
        <v>26</v>
      </c>
    </row>
    <row r="324" spans="1:23" x14ac:dyDescent="0.3">
      <c r="A324">
        <v>100</v>
      </c>
      <c r="B324">
        <v>178.449599996714</v>
      </c>
      <c r="C324">
        <v>108.755708890921</v>
      </c>
      <c r="D324">
        <v>15.5640980385818</v>
      </c>
      <c r="E324">
        <v>52.331955104910797</v>
      </c>
      <c r="F324">
        <v>21.488828606461599</v>
      </c>
      <c r="G324">
        <v>56.336966939993403</v>
      </c>
      <c r="H324">
        <v>34.327773705591198</v>
      </c>
      <c r="I324">
        <v>91.278154706500601</v>
      </c>
      <c r="J324">
        <v>69.980235292829093</v>
      </c>
      <c r="K324" t="s">
        <v>1</v>
      </c>
      <c r="L324">
        <v>2.2799999999999998</v>
      </c>
      <c r="M324">
        <v>0</v>
      </c>
      <c r="N324">
        <f>LN(1+Table1[[#This Row],[Redness]])</f>
        <v>5.1898943885396633</v>
      </c>
      <c r="O324">
        <f>LN(1+Table1[[#This Row],[Greeness]])</f>
        <v>4.6982570678317801</v>
      </c>
      <c r="P324">
        <f>LN(1+Table1[[#This Row],[Blueness]])</f>
        <v>2.8072375844403643</v>
      </c>
      <c r="Q324">
        <f>LN(1+Table1[[#This Row],[L* lab]])</f>
        <v>3.9765356844488902</v>
      </c>
      <c r="R324">
        <f>LN(1+Table1[[#This Row],[a* lab]]+128)</f>
        <v>5.0138888529053629</v>
      </c>
      <c r="S324">
        <f>LN(1+Table1[[#This Row],[b* lab]]+128)</f>
        <v>5.2221756111816129</v>
      </c>
      <c r="T324">
        <f>LN(1+Table1[[#This Row],[Hue]])</f>
        <v>3.5646694451085033</v>
      </c>
      <c r="U324">
        <f>LN(1+Table1[[#This Row],[Saturation]])</f>
        <v>4.5248074364270359</v>
      </c>
      <c r="V324">
        <f>LN(1+Table1[[#This Row],[Value]])</f>
        <v>4.2624014621301436</v>
      </c>
    </row>
    <row r="325" spans="1:23" x14ac:dyDescent="0.3">
      <c r="A325">
        <v>100</v>
      </c>
      <c r="B325">
        <v>185.26178888547699</v>
      </c>
      <c r="C325">
        <v>110.604341808782</v>
      </c>
      <c r="D325">
        <v>11.0473207894768</v>
      </c>
      <c r="E325">
        <v>53.660968909850602</v>
      </c>
      <c r="F325">
        <v>23.378459149529899</v>
      </c>
      <c r="G325">
        <v>58.734165035659501</v>
      </c>
      <c r="H325">
        <v>34.287745021651503</v>
      </c>
      <c r="I325">
        <v>94.036913463949105</v>
      </c>
      <c r="J325">
        <v>72.651681915873596</v>
      </c>
      <c r="K325" t="s">
        <v>1</v>
      </c>
      <c r="L325">
        <v>2.2799999999999998</v>
      </c>
      <c r="M325">
        <v>0</v>
      </c>
      <c r="N325">
        <f>LN(1+Table1[[#This Row],[Redness]])</f>
        <v>5.2271531512859664</v>
      </c>
      <c r="O325">
        <f>LN(1+Table1[[#This Row],[Greeness]])</f>
        <v>4.71495995428704</v>
      </c>
      <c r="P325">
        <f>LN(1+Table1[[#This Row],[Blueness]])</f>
        <v>2.4888422940929549</v>
      </c>
      <c r="Q325">
        <f>LN(1+Table1[[#This Row],[L* lab]])</f>
        <v>4.0011499064652201</v>
      </c>
      <c r="R325">
        <f>LN(1+Table1[[#This Row],[a* lab]]+128)</f>
        <v>5.0263672890993289</v>
      </c>
      <c r="S325">
        <f>LN(1+Table1[[#This Row],[b* lab]]+128)</f>
        <v>5.2350269463984711</v>
      </c>
      <c r="T325">
        <f>LN(1+Table1[[#This Row],[Hue]])</f>
        <v>3.5635357371375487</v>
      </c>
      <c r="U325">
        <f>LN(1+Table1[[#This Row],[Saturation]])</f>
        <v>4.5542653789079859</v>
      </c>
      <c r="V325">
        <f>LN(1+Table1[[#This Row],[Value]])</f>
        <v>4.2993469792517383</v>
      </c>
    </row>
    <row r="326" spans="1:23" x14ac:dyDescent="0.3">
      <c r="A326">
        <v>100</v>
      </c>
      <c r="B326">
        <v>171.74026670000001</v>
      </c>
      <c r="C326">
        <v>108.97490879999999</v>
      </c>
      <c r="D326">
        <v>25.757648939999999</v>
      </c>
      <c r="E326">
        <v>51.55385588</v>
      </c>
      <c r="F326">
        <v>18.629352910000001</v>
      </c>
      <c r="G326">
        <v>52.361467339999997</v>
      </c>
      <c r="H326">
        <v>34.202946019999999</v>
      </c>
      <c r="I326">
        <v>85.001974529999998</v>
      </c>
      <c r="J326">
        <v>67.349124180000004</v>
      </c>
      <c r="K326" t="s">
        <v>1</v>
      </c>
      <c r="L326">
        <v>2.2799999999999998</v>
      </c>
      <c r="M326">
        <v>0</v>
      </c>
      <c r="N326">
        <f>LN(1+Table1[[#This Row],[Redness]])</f>
        <v>5.1517891177898152</v>
      </c>
      <c r="O326">
        <f>LN(1+Table1[[#This Row],[Greeness]])</f>
        <v>4.7002522379550582</v>
      </c>
      <c r="P326">
        <f>LN(1+Table1[[#This Row],[Blueness]])</f>
        <v>3.2868203741507269</v>
      </c>
      <c r="Q326">
        <f>LN(1+Table1[[#This Row],[L* lab]])</f>
        <v>3.9618384700830638</v>
      </c>
      <c r="R326">
        <f>LN(1+Table1[[#This Row],[a* lab]]+128)</f>
        <v>4.9947047603486912</v>
      </c>
      <c r="S326">
        <f>LN(1+Table1[[#This Row],[b* lab]]+128)</f>
        <v>5.200492096925255</v>
      </c>
      <c r="T326">
        <f>LN(1+Table1[[#This Row],[Hue]])</f>
        <v>3.5611297728519249</v>
      </c>
      <c r="U326">
        <f>LN(1+Table1[[#This Row],[Saturation]])</f>
        <v>4.454370255641102</v>
      </c>
      <c r="V326">
        <f>LN(1+Table1[[#This Row],[Value]])</f>
        <v>4.2246287493351184</v>
      </c>
      <c r="W326" t="s">
        <v>26</v>
      </c>
    </row>
    <row r="327" spans="1:23" x14ac:dyDescent="0.3">
      <c r="A327">
        <v>100</v>
      </c>
      <c r="B327">
        <v>172.91091110792701</v>
      </c>
      <c r="C327">
        <v>103.80173222653001</v>
      </c>
      <c r="D327">
        <v>13.2067949488748</v>
      </c>
      <c r="E327">
        <v>50.4124249248881</v>
      </c>
      <c r="F327">
        <v>21.7544973553942</v>
      </c>
      <c r="G327">
        <v>55.173817541775797</v>
      </c>
      <c r="H327">
        <v>34.0360434495365</v>
      </c>
      <c r="I327">
        <v>92.362081221912305</v>
      </c>
      <c r="J327">
        <v>67.808200434481293</v>
      </c>
      <c r="K327" t="s">
        <v>1</v>
      </c>
      <c r="L327">
        <v>2.2799999999999998</v>
      </c>
      <c r="M327">
        <v>0</v>
      </c>
      <c r="N327">
        <f>LN(1+Table1[[#This Row],[Redness]])</f>
        <v>5.1585431629682903</v>
      </c>
      <c r="O327">
        <f>LN(1+Table1[[#This Row],[Greeness]])</f>
        <v>4.6520703006294442</v>
      </c>
      <c r="P327">
        <f>LN(1+Table1[[#This Row],[Blueness]])</f>
        <v>2.653720367680608</v>
      </c>
      <c r="Q327">
        <f>LN(1+Table1[[#This Row],[L* lab]])</f>
        <v>3.9398798733053058</v>
      </c>
      <c r="R327">
        <f>LN(1+Table1[[#This Row],[a* lab]]+128)</f>
        <v>5.015652668365572</v>
      </c>
      <c r="S327">
        <f>LN(1+Table1[[#This Row],[b* lab]]+128)</f>
        <v>5.2158799722511358</v>
      </c>
      <c r="T327">
        <f>LN(1+Table1[[#This Row],[Hue]])</f>
        <v>3.5563773444398299</v>
      </c>
      <c r="U327">
        <f>LN(1+Table1[[#This Row],[Saturation]])</f>
        <v>4.5364852801667634</v>
      </c>
      <c r="V327">
        <f>LN(1+Table1[[#This Row],[Value]])</f>
        <v>4.2313229301980995</v>
      </c>
    </row>
    <row r="328" spans="1:23" x14ac:dyDescent="0.3">
      <c r="A328">
        <v>100</v>
      </c>
      <c r="B328">
        <v>174.480711107898</v>
      </c>
      <c r="C328">
        <v>104.576865385655</v>
      </c>
      <c r="D328">
        <v>14.1664402569789</v>
      </c>
      <c r="E328">
        <v>50.806566499255197</v>
      </c>
      <c r="F328">
        <v>22.039825871865801</v>
      </c>
      <c r="G328">
        <v>55.303798763012701</v>
      </c>
      <c r="H328">
        <v>33.837446154529196</v>
      </c>
      <c r="I328">
        <v>91.880798647009996</v>
      </c>
      <c r="J328">
        <v>68.423808277607193</v>
      </c>
      <c r="K328" t="s">
        <v>1</v>
      </c>
      <c r="L328">
        <v>2.2799999999999998</v>
      </c>
      <c r="M328">
        <v>0</v>
      </c>
      <c r="N328">
        <f>LN(1+Table1[[#This Row],[Redness]])</f>
        <v>5.1675291286484644</v>
      </c>
      <c r="O328">
        <f>LN(1+Table1[[#This Row],[Greeness]])</f>
        <v>4.6594392694837596</v>
      </c>
      <c r="P328">
        <f>LN(1+Table1[[#This Row],[Blueness]])</f>
        <v>2.7190851090660884</v>
      </c>
      <c r="Q328">
        <f>LN(1+Table1[[#This Row],[L* lab]])</f>
        <v>3.9475169076261447</v>
      </c>
      <c r="R328">
        <f>LN(1+Table1[[#This Row],[a* lab]]+128)</f>
        <v>5.0175435495354677</v>
      </c>
      <c r="S328">
        <f>LN(1+Table1[[#This Row],[b* lab]]+128)</f>
        <v>5.2165854763082438</v>
      </c>
      <c r="T328">
        <f>LN(1+Table1[[#This Row],[Hue]])</f>
        <v>3.5506928471887651</v>
      </c>
      <c r="U328">
        <f>LN(1+Table1[[#This Row],[Saturation]])</f>
        <v>4.5313169360500192</v>
      </c>
      <c r="V328">
        <f>LN(1+Table1[[#This Row],[Value]])</f>
        <v>4.2402298674367058</v>
      </c>
    </row>
    <row r="329" spans="1:23" x14ac:dyDescent="0.3">
      <c r="A329">
        <v>100</v>
      </c>
      <c r="B329">
        <v>175.00157777455499</v>
      </c>
      <c r="C329">
        <v>107.81399799145601</v>
      </c>
      <c r="D329">
        <v>21.1886617430985</v>
      </c>
      <c r="E329">
        <v>51.674774622686499</v>
      </c>
      <c r="F329">
        <v>20.6033198495279</v>
      </c>
      <c r="G329">
        <v>54.114150734741003</v>
      </c>
      <c r="H329">
        <v>33.791181579565801</v>
      </c>
      <c r="I329">
        <v>87.892302450898597</v>
      </c>
      <c r="J329">
        <v>68.628069715511899</v>
      </c>
      <c r="K329" t="s">
        <v>1</v>
      </c>
      <c r="L329">
        <v>2.2799999999999998</v>
      </c>
      <c r="M329">
        <v>0</v>
      </c>
      <c r="N329">
        <f>LN(1+Table1[[#This Row],[Redness]])</f>
        <v>5.1704929596261229</v>
      </c>
      <c r="O329">
        <f>LN(1+Table1[[#This Row],[Greeness]])</f>
        <v>4.6896399841558161</v>
      </c>
      <c r="P329">
        <f>LN(1+Table1[[#This Row],[Blueness]])</f>
        <v>3.099581426117211</v>
      </c>
      <c r="Q329">
        <f>LN(1+Table1[[#This Row],[L* lab]])</f>
        <v>3.96413668104202</v>
      </c>
      <c r="R329">
        <f>LN(1+Table1[[#This Row],[a* lab]]+128)</f>
        <v>5.0079872568016883</v>
      </c>
      <c r="S329">
        <f>LN(1+Table1[[#This Row],[b* lab]]+128)</f>
        <v>5.2101097328817492</v>
      </c>
      <c r="T329">
        <f>LN(1+Table1[[#This Row],[Hue]])</f>
        <v>3.549363951782452</v>
      </c>
      <c r="U329">
        <f>LN(1+Table1[[#This Row],[Saturation]])</f>
        <v>4.4874255521669575</v>
      </c>
      <c r="V329">
        <f>LN(1+Table1[[#This Row],[Value]])</f>
        <v>4.2431677865468105</v>
      </c>
    </row>
    <row r="330" spans="1:23" x14ac:dyDescent="0.3">
      <c r="A330">
        <v>100</v>
      </c>
      <c r="B330">
        <v>175.09527221899799</v>
      </c>
      <c r="C330">
        <v>107.420225857733</v>
      </c>
      <c r="D330">
        <v>21.757721299918199</v>
      </c>
      <c r="E330">
        <v>51.595499407192001</v>
      </c>
      <c r="F330">
        <v>20.8783474217832</v>
      </c>
      <c r="G330">
        <v>53.8765941014587</v>
      </c>
      <c r="H330">
        <v>33.519188500547102</v>
      </c>
      <c r="I330">
        <v>87.573781391021797</v>
      </c>
      <c r="J330">
        <v>68.664812634901196</v>
      </c>
      <c r="K330" t="s">
        <v>1</v>
      </c>
      <c r="L330">
        <v>2.2799999999999998</v>
      </c>
      <c r="M330">
        <v>0</v>
      </c>
      <c r="N330">
        <f>LN(1+Table1[[#This Row],[Redness]])</f>
        <v>5.1710251680037684</v>
      </c>
      <c r="O330">
        <f>LN(1+Table1[[#This Row],[Greeness]])</f>
        <v>4.6860146570040957</v>
      </c>
      <c r="P330">
        <f>LN(1+Table1[[#This Row],[Blueness]])</f>
        <v>3.1249044856131571</v>
      </c>
      <c r="Q330">
        <f>LN(1+Table1[[#This Row],[L* lab]])</f>
        <v>3.9626305534820636</v>
      </c>
      <c r="R330">
        <f>LN(1+Table1[[#This Row],[a* lab]]+128)</f>
        <v>5.0098239478557804</v>
      </c>
      <c r="S330">
        <f>LN(1+Table1[[#This Row],[b* lab]]+128)</f>
        <v>5.2088115761933897</v>
      </c>
      <c r="T330">
        <f>LN(1+Table1[[#This Row],[Hue]])</f>
        <v>3.5415153578435166</v>
      </c>
      <c r="U330">
        <f>LN(1+Table1[[#This Row],[Saturation]])</f>
        <v>4.4838358927231861</v>
      </c>
      <c r="V330">
        <f>LN(1+Table1[[#This Row],[Value]])</f>
        <v>4.2436953500464165</v>
      </c>
    </row>
    <row r="331" spans="1:23" x14ac:dyDescent="0.3">
      <c r="A331">
        <v>100</v>
      </c>
      <c r="B331">
        <v>169.26186670000001</v>
      </c>
      <c r="C331">
        <v>104.6198876</v>
      </c>
      <c r="D331">
        <v>23.247838130000002</v>
      </c>
      <c r="E331">
        <v>50.164314070000003</v>
      </c>
      <c r="F331">
        <v>19.898895759999998</v>
      </c>
      <c r="G331">
        <v>51.90833319</v>
      </c>
      <c r="H331">
        <v>33.437355420000003</v>
      </c>
      <c r="I331">
        <v>86.265164979999994</v>
      </c>
      <c r="J331">
        <v>66.377202609999998</v>
      </c>
      <c r="K331" t="s">
        <v>1</v>
      </c>
      <c r="L331">
        <v>2.2799999999999998</v>
      </c>
      <c r="M331">
        <v>0</v>
      </c>
      <c r="N331">
        <f>LN(1+Table1[[#This Row],[Redness]])</f>
        <v>5.1373376442158492</v>
      </c>
      <c r="O331">
        <f>LN(1+Table1[[#This Row],[Greeness]])</f>
        <v>4.6598466830858332</v>
      </c>
      <c r="P331">
        <f>LN(1+Table1[[#This Row],[Blueness]])</f>
        <v>3.1883274641311088</v>
      </c>
      <c r="Q331">
        <f>LN(1+Table1[[#This Row],[L* lab]])</f>
        <v>3.9350422982141238</v>
      </c>
      <c r="R331">
        <f>LN(1+Table1[[#This Row],[a* lab]]+128)</f>
        <v>5.0032675236785833</v>
      </c>
      <c r="S331">
        <f>LN(1+Table1[[#This Row],[b* lab]]+128)</f>
        <v>5.1979904565144111</v>
      </c>
      <c r="T331">
        <f>LN(1+Table1[[#This Row],[Hue]])</f>
        <v>3.5391418885740116</v>
      </c>
      <c r="U331">
        <f>LN(1+Table1[[#This Row],[Saturation]])</f>
        <v>4.4689513566382395</v>
      </c>
      <c r="V331">
        <f>LN(1+Table1[[#This Row],[Value]])</f>
        <v>4.2103067204944251</v>
      </c>
      <c r="W331" t="s">
        <v>26</v>
      </c>
    </row>
    <row r="332" spans="1:23" x14ac:dyDescent="0.3">
      <c r="A332">
        <v>100</v>
      </c>
      <c r="B332">
        <v>181.475494441103</v>
      </c>
      <c r="C332">
        <v>105.47662629454901</v>
      </c>
      <c r="D332">
        <v>9.8471419459727496</v>
      </c>
      <c r="E332">
        <v>51.955117357221702</v>
      </c>
      <c r="F332">
        <v>24.530297956542199</v>
      </c>
      <c r="G332">
        <v>57.555128737288399</v>
      </c>
      <c r="H332">
        <v>33.431358965456397</v>
      </c>
      <c r="I332">
        <v>94.573844817836402</v>
      </c>
      <c r="J332">
        <v>71.166860565138407</v>
      </c>
      <c r="K332" t="s">
        <v>1</v>
      </c>
      <c r="L332">
        <v>2.2799999999999998</v>
      </c>
      <c r="M332">
        <v>0</v>
      </c>
      <c r="N332">
        <f>LN(1+Table1[[#This Row],[Redness]])</f>
        <v>5.2066158869715258</v>
      </c>
      <c r="O332">
        <f>LN(1+Table1[[#This Row],[Greeness]])</f>
        <v>4.6679254896494191</v>
      </c>
      <c r="P332">
        <f>LN(1+Table1[[#This Row],[Blueness]])</f>
        <v>2.3839016301688938</v>
      </c>
      <c r="Q332">
        <f>LN(1+Table1[[#This Row],[L* lab]])</f>
        <v>3.9694447124620318</v>
      </c>
      <c r="R332">
        <f>LN(1+Table1[[#This Row],[a* lab]]+128)</f>
        <v>5.033897928374599</v>
      </c>
      <c r="S332">
        <f>LN(1+Table1[[#This Row],[b* lab]]+128)</f>
        <v>5.228726791850435</v>
      </c>
      <c r="T332">
        <f>LN(1+Table1[[#This Row],[Hue]])</f>
        <v>3.5389677469594263</v>
      </c>
      <c r="U332">
        <f>LN(1+Table1[[#This Row],[Saturation]])</f>
        <v>4.5598991928532611</v>
      </c>
      <c r="V332">
        <f>LN(1+Table1[[#This Row],[Value]])</f>
        <v>4.2789809455856762</v>
      </c>
    </row>
    <row r="333" spans="1:23" x14ac:dyDescent="0.3">
      <c r="A333">
        <v>100</v>
      </c>
      <c r="B333">
        <v>188.776177774301</v>
      </c>
      <c r="C333">
        <v>113.866285520117</v>
      </c>
      <c r="D333">
        <v>19.708361356405</v>
      </c>
      <c r="E333">
        <v>54.915054312993902</v>
      </c>
      <c r="F333">
        <v>23.259176991633002</v>
      </c>
      <c r="G333">
        <v>57.851503500583902</v>
      </c>
      <c r="H333">
        <v>33.415439848460302</v>
      </c>
      <c r="I333">
        <v>89.559931984655293</v>
      </c>
      <c r="J333">
        <v>74.029873636981094</v>
      </c>
      <c r="K333" t="s">
        <v>1</v>
      </c>
      <c r="L333">
        <v>2.2799999999999998</v>
      </c>
      <c r="M333">
        <v>0</v>
      </c>
      <c r="N333">
        <f>LN(1+Table1[[#This Row],[Redness]])</f>
        <v>5.2458453660450859</v>
      </c>
      <c r="O333">
        <f>LN(1+Table1[[#This Row],[Greeness]])</f>
        <v>4.7437687172552438</v>
      </c>
      <c r="P333">
        <f>LN(1+Table1[[#This Row],[Blueness]])</f>
        <v>3.0305375489745683</v>
      </c>
      <c r="Q333">
        <f>LN(1+Table1[[#This Row],[L* lab]])</f>
        <v>4.0238336518289408</v>
      </c>
      <c r="R333">
        <f>LN(1+Table1[[#This Row],[a* lab]]+128)</f>
        <v>5.0255841805806067</v>
      </c>
      <c r="S333">
        <f>LN(1+Table1[[#This Row],[b* lab]]+128)</f>
        <v>5.2303142024636573</v>
      </c>
      <c r="T333">
        <f>LN(1+Table1[[#This Row],[Hue]])</f>
        <v>3.5385052964881174</v>
      </c>
      <c r="U333">
        <f>LN(1+Table1[[#This Row],[Saturation]])</f>
        <v>4.5060118634017563</v>
      </c>
      <c r="V333">
        <f>LN(1+Table1[[#This Row],[Value]])</f>
        <v>4.3178863493896333</v>
      </c>
    </row>
    <row r="334" spans="1:23" x14ac:dyDescent="0.3">
      <c r="A334">
        <v>100</v>
      </c>
      <c r="B334">
        <v>173.042777774591</v>
      </c>
      <c r="C334">
        <v>105.105331933551</v>
      </c>
      <c r="D334">
        <v>19.979755316064001</v>
      </c>
      <c r="E334">
        <v>50.764031220362199</v>
      </c>
      <c r="F334">
        <v>21.220747609202899</v>
      </c>
      <c r="G334">
        <v>53.634627920051699</v>
      </c>
      <c r="H334">
        <v>33.368834059402801</v>
      </c>
      <c r="I334">
        <v>88.453863505306103</v>
      </c>
      <c r="J334">
        <v>67.859912852780994</v>
      </c>
      <c r="K334" t="s">
        <v>1</v>
      </c>
      <c r="L334">
        <v>2.2799999999999998</v>
      </c>
      <c r="M334">
        <v>0</v>
      </c>
      <c r="N334">
        <f>LN(1+Table1[[#This Row],[Redness]])</f>
        <v>5.1593011182778055</v>
      </c>
      <c r="O334">
        <f>LN(1+Table1[[#This Row],[Greeness]])</f>
        <v>4.6644322982078767</v>
      </c>
      <c r="P334">
        <f>LN(1+Table1[[#This Row],[Blueness]])</f>
        <v>3.0435579401767856</v>
      </c>
      <c r="Q334">
        <f>LN(1+Table1[[#This Row],[L* lab]])</f>
        <v>3.9466955300880997</v>
      </c>
      <c r="R334">
        <f>LN(1+Table1[[#This Row],[a* lab]]+128)</f>
        <v>5.0121058630075837</v>
      </c>
      <c r="S334">
        <f>LN(1+Table1[[#This Row],[b* lab]]+128)</f>
        <v>5.2074875882982177</v>
      </c>
      <c r="T334">
        <f>LN(1+Table1[[#This Row],[Hue]])</f>
        <v>3.5371501670801346</v>
      </c>
      <c r="U334">
        <f>LN(1+Table1[[#This Row],[Saturation]])</f>
        <v>4.4937230008085312</v>
      </c>
      <c r="V334">
        <f>LN(1+Table1[[#This Row],[Value]])</f>
        <v>4.2320741923385778</v>
      </c>
    </row>
    <row r="335" spans="1:23" x14ac:dyDescent="0.3">
      <c r="A335">
        <v>100</v>
      </c>
      <c r="B335">
        <v>173.86633333013199</v>
      </c>
      <c r="C335">
        <v>105.866309540302</v>
      </c>
      <c r="D335">
        <v>20.8658689274097</v>
      </c>
      <c r="E335">
        <v>51.058334164042101</v>
      </c>
      <c r="F335">
        <v>21.180925077598701</v>
      </c>
      <c r="G335">
        <v>53.648115504571301</v>
      </c>
      <c r="H335">
        <v>33.333404945422103</v>
      </c>
      <c r="I335">
        <v>87.998902071633196</v>
      </c>
      <c r="J335">
        <v>68.182875815738001</v>
      </c>
      <c r="K335" t="s">
        <v>1</v>
      </c>
      <c r="L335">
        <v>2.2799999999999998</v>
      </c>
      <c r="M335">
        <v>0</v>
      </c>
      <c r="N335">
        <f>LN(1+Table1[[#This Row],[Redness]])</f>
        <v>5.1640218725302809</v>
      </c>
      <c r="O335">
        <f>LN(1+Table1[[#This Row],[Greeness]])</f>
        <v>4.6715786097079537</v>
      </c>
      <c r="P335">
        <f>LN(1+Table1[[#This Row],[Blueness]])</f>
        <v>3.0849269246382351</v>
      </c>
      <c r="Q335">
        <f>LN(1+Table1[[#This Row],[L* lab]])</f>
        <v>3.9523649006687918</v>
      </c>
      <c r="R335">
        <f>LN(1+Table1[[#This Row],[a* lab]]+128)</f>
        <v>5.0118407344450073</v>
      </c>
      <c r="S335">
        <f>LN(1+Table1[[#This Row],[b* lab]]+128)</f>
        <v>5.2075614356658715</v>
      </c>
      <c r="T335">
        <f>LN(1+Table1[[#This Row],[Hue]])</f>
        <v>3.5361187853483442</v>
      </c>
      <c r="U335">
        <f>LN(1+Table1[[#This Row],[Saturation]])</f>
        <v>4.4886240333822629</v>
      </c>
      <c r="V335">
        <f>LN(1+Table1[[#This Row],[Value]])</f>
        <v>4.2367533726903721</v>
      </c>
    </row>
    <row r="336" spans="1:23" x14ac:dyDescent="0.3">
      <c r="A336">
        <v>100</v>
      </c>
      <c r="B336">
        <v>171.31873333017799</v>
      </c>
      <c r="C336">
        <v>99.834088673798206</v>
      </c>
      <c r="D336">
        <v>11.981755547574201</v>
      </c>
      <c r="E336">
        <v>49.260074662481998</v>
      </c>
      <c r="F336">
        <v>23.241998274163901</v>
      </c>
      <c r="G336">
        <v>54.494711223918699</v>
      </c>
      <c r="H336">
        <v>33.081711859536099</v>
      </c>
      <c r="I336">
        <v>93.006161489367202</v>
      </c>
      <c r="J336">
        <v>67.183816992226994</v>
      </c>
      <c r="K336" t="s">
        <v>1</v>
      </c>
      <c r="L336">
        <v>2.2799999999999998</v>
      </c>
      <c r="M336">
        <v>0</v>
      </c>
      <c r="N336">
        <f>LN(1+Table1[[#This Row],[Redness]])</f>
        <v>5.1493458626973228</v>
      </c>
      <c r="O336">
        <f>LN(1+Table1[[#This Row],[Greeness]])</f>
        <v>4.6134764797545458</v>
      </c>
      <c r="P336">
        <f>LN(1+Table1[[#This Row],[Blueness]])</f>
        <v>2.563544952328781</v>
      </c>
      <c r="Q336">
        <f>LN(1+Table1[[#This Row],[L* lab]])</f>
        <v>3.9172110176392532</v>
      </c>
      <c r="R336">
        <f>LN(1+Table1[[#This Row],[a* lab]]+128)</f>
        <v>5.025471348717331</v>
      </c>
      <c r="S336">
        <f>LN(1+Table1[[#This Row],[b* lab]]+128)</f>
        <v>5.2121858454112546</v>
      </c>
      <c r="T336">
        <f>LN(1+Table1[[#This Row],[Hue]])</f>
        <v>3.5287609313197903</v>
      </c>
      <c r="U336">
        <f>LN(1+Table1[[#This Row],[Saturation]])</f>
        <v>4.5433603278810688</v>
      </c>
      <c r="V336">
        <f>LN(1+Table1[[#This Row],[Value]])</f>
        <v>4.2222072491882789</v>
      </c>
    </row>
    <row r="337" spans="1:23" x14ac:dyDescent="0.3">
      <c r="A337">
        <v>100</v>
      </c>
      <c r="B337">
        <v>173.84764444124301</v>
      </c>
      <c r="C337">
        <v>105.14895414597</v>
      </c>
      <c r="D337">
        <v>21.176239797348099</v>
      </c>
      <c r="E337">
        <v>50.887697171530398</v>
      </c>
      <c r="F337">
        <v>21.579459650580102</v>
      </c>
      <c r="G337">
        <v>53.412152412612002</v>
      </c>
      <c r="H337">
        <v>33.001352628340904</v>
      </c>
      <c r="I337">
        <v>87.8190815495891</v>
      </c>
      <c r="J337">
        <v>68.175546839703301</v>
      </c>
      <c r="K337" t="s">
        <v>1</v>
      </c>
      <c r="L337">
        <v>2.2799999999999998</v>
      </c>
      <c r="M337">
        <v>0</v>
      </c>
      <c r="N337">
        <f>LN(1+Table1[[#This Row],[Redness]])</f>
        <v>5.163914991535556</v>
      </c>
      <c r="O337">
        <f>LN(1+Table1[[#This Row],[Greeness]])</f>
        <v>4.6648433354956405</v>
      </c>
      <c r="P337">
        <f>LN(1+Table1[[#This Row],[Blueness]])</f>
        <v>3.0990214363215078</v>
      </c>
      <c r="Q337">
        <f>LN(1+Table1[[#This Row],[L* lab]])</f>
        <v>3.9490817133532508</v>
      </c>
      <c r="R337">
        <f>LN(1+Table1[[#This Row],[a* lab]]+128)</f>
        <v>5.0144909159614279</v>
      </c>
      <c r="S337">
        <f>LN(1+Table1[[#This Row],[b* lab]]+128)</f>
        <v>5.2062687004900248</v>
      </c>
      <c r="T337">
        <f>LN(1+Table1[[#This Row],[Hue]])</f>
        <v>3.5264003070113286</v>
      </c>
      <c r="U337">
        <f>LN(1+Table1[[#This Row],[Saturation]])</f>
        <v>4.4866015092294189</v>
      </c>
      <c r="V337">
        <f>LN(1+Table1[[#This Row],[Value]])</f>
        <v>4.2366474308055073</v>
      </c>
    </row>
    <row r="338" spans="1:23" x14ac:dyDescent="0.3">
      <c r="A338">
        <v>200</v>
      </c>
      <c r="B338">
        <v>178.84271390000001</v>
      </c>
      <c r="C338">
        <v>109.37193379999999</v>
      </c>
      <c r="D338">
        <v>16.05133442</v>
      </c>
      <c r="E338">
        <v>52.532353020000002</v>
      </c>
      <c r="F338">
        <v>21.356488939999998</v>
      </c>
      <c r="G338">
        <v>56.222869119999999</v>
      </c>
      <c r="H338">
        <v>34.395162560000003</v>
      </c>
      <c r="I338">
        <v>91.024887699999994</v>
      </c>
      <c r="J338">
        <v>70.1343976</v>
      </c>
      <c r="K338" t="s">
        <v>1</v>
      </c>
      <c r="L338">
        <v>4.5599999999999996</v>
      </c>
      <c r="M338">
        <v>0</v>
      </c>
      <c r="N338">
        <f>LN(1+Table1[[#This Row],[Redness]])</f>
        <v>5.1920826572275844</v>
      </c>
      <c r="O338">
        <f>LN(1+Table1[[#This Row],[Greeness]])</f>
        <v>4.7038558786968077</v>
      </c>
      <c r="P338">
        <f>LN(1+Table1[[#This Row],[Blueness]])</f>
        <v>2.8362284657696115</v>
      </c>
      <c r="Q338">
        <f>LN(1+Table1[[#This Row],[L* lab]])</f>
        <v>3.9802862004726469</v>
      </c>
      <c r="R338">
        <f>LN(1+Table1[[#This Row],[a* lab]]+128)</f>
        <v>5.0130090673991292</v>
      </c>
      <c r="S338">
        <f>LN(1+Table1[[#This Row],[b* lab]]+128)</f>
        <v>5.2215597979579655</v>
      </c>
      <c r="T338">
        <f>LN(1+Table1[[#This Row],[Hue]])</f>
        <v>3.5665751599546933</v>
      </c>
      <c r="U338">
        <f>LN(1+Table1[[#This Row],[Saturation]])</f>
        <v>4.5220590589437748</v>
      </c>
      <c r="V338">
        <f>LN(1+Table1[[#This Row],[Value]])</f>
        <v>4.2645710116621283</v>
      </c>
      <c r="W338" t="s">
        <v>26</v>
      </c>
    </row>
    <row r="339" spans="1:23" x14ac:dyDescent="0.3">
      <c r="A339">
        <v>200</v>
      </c>
      <c r="B339">
        <v>175.64531110787701</v>
      </c>
      <c r="C339">
        <v>105.06662083114</v>
      </c>
      <c r="D339">
        <v>10.722939120261801</v>
      </c>
      <c r="E339">
        <v>51.072176091453898</v>
      </c>
      <c r="F339">
        <v>22.218963566386801</v>
      </c>
      <c r="G339">
        <v>56.374955015835504</v>
      </c>
      <c r="H339">
        <v>34.322941359816298</v>
      </c>
      <c r="I339">
        <v>93.895117921094894</v>
      </c>
      <c r="J339">
        <v>68.880514159951701</v>
      </c>
      <c r="K339" t="s">
        <v>1</v>
      </c>
      <c r="L339">
        <v>4.5599999999999996</v>
      </c>
      <c r="M339">
        <v>0</v>
      </c>
      <c r="N339">
        <f>LN(1+Table1[[#This Row],[Redness]])</f>
        <v>5.1741438300499683</v>
      </c>
      <c r="O339">
        <f>LN(1+Table1[[#This Row],[Greeness]])</f>
        <v>4.66406739509664</v>
      </c>
      <c r="P339">
        <f>LN(1+Table1[[#This Row],[Blueness]])</f>
        <v>2.4615475308886094</v>
      </c>
      <c r="Q339">
        <f>LN(1+Table1[[#This Row],[L* lab]])</f>
        <v>3.9526307579561393</v>
      </c>
      <c r="R339">
        <f>LN(1+Table1[[#This Row],[a* lab]]+128)</f>
        <v>5.0187288762935616</v>
      </c>
      <c r="S339">
        <f>LN(1+Table1[[#This Row],[b* lab]]+128)</f>
        <v>5.2223805577923104</v>
      </c>
      <c r="T339">
        <f>LN(1+Table1[[#This Row],[Hue]])</f>
        <v>3.564532649726377</v>
      </c>
      <c r="U339">
        <f>LN(1+Table1[[#This Row],[Saturation]])</f>
        <v>4.5527722598362468</v>
      </c>
      <c r="V339">
        <f>LN(1+Table1[[#This Row],[Value]])</f>
        <v>4.2467868429942497</v>
      </c>
    </row>
    <row r="340" spans="1:23" x14ac:dyDescent="0.3">
      <c r="A340">
        <v>200</v>
      </c>
      <c r="B340">
        <v>171.48852780000001</v>
      </c>
      <c r="C340">
        <v>101.047794</v>
      </c>
      <c r="D340">
        <v>6.9162377340000001</v>
      </c>
      <c r="E340">
        <v>49.552433260000001</v>
      </c>
      <c r="F340">
        <v>22.56312848</v>
      </c>
      <c r="G340">
        <v>55.856420559999997</v>
      </c>
      <c r="H340">
        <v>34.318616890000001</v>
      </c>
      <c r="I340">
        <v>95.966938529999993</v>
      </c>
      <c r="J340">
        <v>67.250403050000003</v>
      </c>
      <c r="K340" t="s">
        <v>1</v>
      </c>
      <c r="L340">
        <v>4.5599999999999996</v>
      </c>
      <c r="M340">
        <v>0</v>
      </c>
      <c r="N340">
        <f>LN(1+Table1[[#This Row],[Redness]])</f>
        <v>5.1503307287525786</v>
      </c>
      <c r="O340">
        <f>LN(1+Table1[[#This Row],[Greeness]])</f>
        <v>4.6254412721677234</v>
      </c>
      <c r="P340">
        <f>LN(1+Table1[[#This Row],[Blueness]])</f>
        <v>2.0689160593762779</v>
      </c>
      <c r="Q340">
        <f>LN(1+Table1[[#This Row],[L* lab]])</f>
        <v>3.9230110800152151</v>
      </c>
      <c r="R340">
        <f>LN(1+Table1[[#This Row],[a* lab]]+128)</f>
        <v>5.0210022277953694</v>
      </c>
      <c r="S340">
        <f>LN(1+Table1[[#This Row],[b* lab]]+128)</f>
        <v>5.2195794186717785</v>
      </c>
      <c r="T340">
        <f>LN(1+Table1[[#This Row],[Hue]])</f>
        <v>3.5644102155692363</v>
      </c>
      <c r="U340">
        <f>LN(1+Table1[[#This Row],[Saturation]])</f>
        <v>4.5743700805073555</v>
      </c>
      <c r="V340">
        <f>LN(1+Table1[[#This Row],[Value]])</f>
        <v>4.2231833395421372</v>
      </c>
      <c r="W340" t="s">
        <v>26</v>
      </c>
    </row>
    <row r="341" spans="1:23" x14ac:dyDescent="0.3">
      <c r="A341">
        <v>200</v>
      </c>
      <c r="B341">
        <v>176.7748278</v>
      </c>
      <c r="C341">
        <v>106.7506593</v>
      </c>
      <c r="D341">
        <v>13.556387170000001</v>
      </c>
      <c r="E341">
        <v>51.632225589999997</v>
      </c>
      <c r="F341">
        <v>21.846875470000001</v>
      </c>
      <c r="G341">
        <v>56.107077480000001</v>
      </c>
      <c r="H341">
        <v>34.258729039999999</v>
      </c>
      <c r="I341">
        <v>92.331268350000002</v>
      </c>
      <c r="J341">
        <v>69.323461870000003</v>
      </c>
      <c r="K341" t="s">
        <v>1</v>
      </c>
      <c r="L341">
        <v>4.5599999999999996</v>
      </c>
      <c r="M341">
        <v>0</v>
      </c>
      <c r="N341">
        <f>LN(1+Table1[[#This Row],[Redness]])</f>
        <v>5.1805177371289775</v>
      </c>
      <c r="O341">
        <f>LN(1+Table1[[#This Row],[Greeness]])</f>
        <v>4.6798198477586412</v>
      </c>
      <c r="P341">
        <f>LN(1+Table1[[#This Row],[Blueness]])</f>
        <v>2.6780298780496516</v>
      </c>
      <c r="Q341">
        <f>LN(1+Table1[[#This Row],[L* lab]])</f>
        <v>3.9633285859502219</v>
      </c>
      <c r="R341">
        <f>LN(1+Table1[[#This Row],[a* lab]]+128)</f>
        <v>5.0162652525632447</v>
      </c>
      <c r="S341">
        <f>LN(1+Table1[[#This Row],[b* lab]]+128)</f>
        <v>5.2209344548290266</v>
      </c>
      <c r="T341">
        <f>LN(1+Table1[[#This Row],[Hue]])</f>
        <v>3.5627131309428761</v>
      </c>
      <c r="U341">
        <f>LN(1+Table1[[#This Row],[Saturation]])</f>
        <v>4.5361551894349539</v>
      </c>
      <c r="V341">
        <f>LN(1+Table1[[#This Row],[Value]])</f>
        <v>4.2531054823983734</v>
      </c>
      <c r="W341" t="s">
        <v>26</v>
      </c>
    </row>
    <row r="342" spans="1:23" x14ac:dyDescent="0.3">
      <c r="A342">
        <v>200</v>
      </c>
      <c r="B342">
        <v>171.15453333018101</v>
      </c>
      <c r="C342">
        <v>99.504599858960603</v>
      </c>
      <c r="D342">
        <v>6.6331523677464501</v>
      </c>
      <c r="E342">
        <v>49.144108664551901</v>
      </c>
      <c r="F342">
        <v>23.2694125247139</v>
      </c>
      <c r="G342">
        <v>55.619749593931701</v>
      </c>
      <c r="H342">
        <v>33.869681963982202</v>
      </c>
      <c r="I342">
        <v>96.124465862116395</v>
      </c>
      <c r="J342">
        <v>67.119424835365393</v>
      </c>
      <c r="K342" t="s">
        <v>1</v>
      </c>
      <c r="L342">
        <v>4.5599999999999996</v>
      </c>
      <c r="M342">
        <v>0</v>
      </c>
      <c r="N342">
        <f>LN(1+Table1[[#This Row],[Redness]])</f>
        <v>5.1483925230432757</v>
      </c>
      <c r="O342">
        <f>LN(1+Table1[[#This Row],[Greeness]])</f>
        <v>4.6102034961926295</v>
      </c>
      <c r="P342">
        <f>LN(1+Table1[[#This Row],[Blueness]])</f>
        <v>2.0325009143289376</v>
      </c>
      <c r="Q342">
        <f>LN(1+Table1[[#This Row],[L* lab]])</f>
        <v>3.9149010332211964</v>
      </c>
      <c r="R342">
        <f>LN(1+Table1[[#This Row],[a* lab]]+128)</f>
        <v>5.0256514027294434</v>
      </c>
      <c r="S342">
        <f>LN(1+Table1[[#This Row],[b* lab]]+128)</f>
        <v>5.2182983022287903</v>
      </c>
      <c r="T342">
        <f>LN(1+Table1[[#This Row],[Hue]])</f>
        <v>3.5516177400260127</v>
      </c>
      <c r="U342">
        <f>LN(1+Table1[[#This Row],[Saturation]])</f>
        <v>4.5759933091835405</v>
      </c>
      <c r="V342">
        <f>LN(1+Table1[[#This Row],[Value]])</f>
        <v>4.2212624123555154</v>
      </c>
    </row>
    <row r="343" spans="1:23" x14ac:dyDescent="0.3">
      <c r="A343">
        <v>200</v>
      </c>
      <c r="B343">
        <v>174.15519999679299</v>
      </c>
      <c r="C343">
        <v>103.19428791860599</v>
      </c>
      <c r="D343">
        <v>13.1897508837754</v>
      </c>
      <c r="E343">
        <v>50.436162754438598</v>
      </c>
      <c r="F343">
        <v>22.642561302299399</v>
      </c>
      <c r="G343">
        <v>55.263232285445099</v>
      </c>
      <c r="H343">
        <v>33.549263222930598</v>
      </c>
      <c r="I343">
        <v>92.426438668487407</v>
      </c>
      <c r="J343">
        <v>68.296156861487503</v>
      </c>
      <c r="K343" t="s">
        <v>1</v>
      </c>
      <c r="L343">
        <v>4.5599999999999996</v>
      </c>
      <c r="M343">
        <v>0</v>
      </c>
      <c r="N343">
        <f>LN(1+Table1[[#This Row],[Redness]])</f>
        <v>5.1656724380226198</v>
      </c>
      <c r="O343">
        <f>LN(1+Table1[[#This Row],[Greeness]])</f>
        <v>4.6462573093771988</v>
      </c>
      <c r="P343">
        <f>LN(1+Table1[[#This Row],[Blueness]])</f>
        <v>2.6525199352585376</v>
      </c>
      <c r="Q343">
        <f>LN(1+Table1[[#This Row],[L* lab]])</f>
        <v>3.9403414806157731</v>
      </c>
      <c r="R343">
        <f>LN(1+Table1[[#This Row],[a* lab]]+128)</f>
        <v>5.0215261811827459</v>
      </c>
      <c r="S343">
        <f>LN(1+Table1[[#This Row],[b* lab]]+128)</f>
        <v>5.216365345508069</v>
      </c>
      <c r="T343">
        <f>LN(1+Table1[[#This Row],[Hue]])</f>
        <v>3.5423862250349414</v>
      </c>
      <c r="U343">
        <f>LN(1+Table1[[#This Row],[Saturation]])</f>
        <v>4.5371743744340076</v>
      </c>
      <c r="V343">
        <f>LN(1+Table1[[#This Row],[Value]])</f>
        <v>4.2383894481138951</v>
      </c>
    </row>
    <row r="344" spans="1:23" x14ac:dyDescent="0.3">
      <c r="A344">
        <v>200</v>
      </c>
      <c r="B344">
        <v>169.62955555243201</v>
      </c>
      <c r="C344">
        <v>98.5388667426719</v>
      </c>
      <c r="D344">
        <v>8.55369573385045</v>
      </c>
      <c r="E344">
        <v>48.712503027341697</v>
      </c>
      <c r="F344">
        <v>23.164342847491302</v>
      </c>
      <c r="G344">
        <v>54.7956058007262</v>
      </c>
      <c r="H344">
        <v>33.519052864968401</v>
      </c>
      <c r="I344">
        <v>94.957426077080896</v>
      </c>
      <c r="J344">
        <v>66.521394334287095</v>
      </c>
      <c r="K344" t="s">
        <v>1</v>
      </c>
      <c r="L344">
        <v>4.5599999999999996</v>
      </c>
      <c r="M344">
        <v>0</v>
      </c>
      <c r="N344">
        <f>LN(1+Table1[[#This Row],[Redness]])</f>
        <v>5.1394948647911995</v>
      </c>
      <c r="O344">
        <f>LN(1+Table1[[#This Row],[Greeness]])</f>
        <v>4.600548188421576</v>
      </c>
      <c r="P344">
        <f>LN(1+Table1[[#This Row],[Blueness]])</f>
        <v>2.2569280674699019</v>
      </c>
      <c r="Q344">
        <f>LN(1+Table1[[#This Row],[L* lab]])</f>
        <v>3.9062564714307988</v>
      </c>
      <c r="R344">
        <f>LN(1+Table1[[#This Row],[a* lab]]+128)</f>
        <v>5.0249611397113627</v>
      </c>
      <c r="S344">
        <f>LN(1+Table1[[#This Row],[b* lab]]+128)</f>
        <v>5.213824302131588</v>
      </c>
      <c r="T344">
        <f>LN(1+Table1[[#This Row],[Hue]])</f>
        <v>3.5415114285551681</v>
      </c>
      <c r="U344">
        <f>LN(1+Table1[[#This Row],[Saturation]])</f>
        <v>4.5639046147384832</v>
      </c>
      <c r="V344">
        <f>LN(1+Table1[[#This Row],[Value]])</f>
        <v>4.2124445007600109</v>
      </c>
    </row>
    <row r="345" spans="1:23" x14ac:dyDescent="0.3">
      <c r="A345">
        <v>200</v>
      </c>
      <c r="B345">
        <v>173.129644441256</v>
      </c>
      <c r="C345">
        <v>99.774599798279198</v>
      </c>
      <c r="D345">
        <v>8.1818817869892992</v>
      </c>
      <c r="E345">
        <v>49.481717310441802</v>
      </c>
      <c r="F345">
        <v>24.013158414954301</v>
      </c>
      <c r="G345">
        <v>55.632416673462899</v>
      </c>
      <c r="H345">
        <v>33.316990738432501</v>
      </c>
      <c r="I345">
        <v>95.274130081307106</v>
      </c>
      <c r="J345">
        <v>67.893978212257494</v>
      </c>
      <c r="K345" t="s">
        <v>1</v>
      </c>
      <c r="L345">
        <v>4.5599999999999996</v>
      </c>
      <c r="M345">
        <v>0</v>
      </c>
      <c r="N345">
        <f>LN(1+Table1[[#This Row],[Redness]])</f>
        <v>5.1598001047737183</v>
      </c>
      <c r="O345">
        <f>LN(1+Table1[[#This Row],[Greeness]])</f>
        <v>4.6128863377552465</v>
      </c>
      <c r="P345">
        <f>LN(1+Table1[[#This Row],[Blueness]])</f>
        <v>2.2172321713147594</v>
      </c>
      <c r="Q345">
        <f>LN(1+Table1[[#This Row],[L* lab]])</f>
        <v>3.9216112372747829</v>
      </c>
      <c r="R345">
        <f>LN(1+Table1[[#This Row],[a* lab]]+128)</f>
        <v>5.0305239204065337</v>
      </c>
      <c r="S345">
        <f>LN(1+Table1[[#This Row],[b* lab]]+128)</f>
        <v>5.2183669116003442</v>
      </c>
      <c r="T345">
        <f>LN(1+Table1[[#This Row],[Hue]])</f>
        <v>3.5356405883288256</v>
      </c>
      <c r="U345">
        <f>LN(1+Table1[[#This Row],[Saturation]])</f>
        <v>4.5671996438908131</v>
      </c>
      <c r="V345">
        <f>LN(1+Table1[[#This Row],[Value]])</f>
        <v>4.2325687752488319</v>
      </c>
    </row>
    <row r="346" spans="1:23" x14ac:dyDescent="0.3">
      <c r="A346">
        <v>200</v>
      </c>
      <c r="B346">
        <v>172.1396139</v>
      </c>
      <c r="C346">
        <v>99.712835920000003</v>
      </c>
      <c r="D346">
        <v>9.3642888039999992</v>
      </c>
      <c r="E346">
        <v>49.337125030000003</v>
      </c>
      <c r="F346">
        <v>23.62699971</v>
      </c>
      <c r="G346">
        <v>55.19933297</v>
      </c>
      <c r="H346">
        <v>33.303037940000003</v>
      </c>
      <c r="I346">
        <v>94.560061689999998</v>
      </c>
      <c r="J346">
        <v>67.505730940000007</v>
      </c>
      <c r="K346" t="s">
        <v>1</v>
      </c>
      <c r="L346">
        <v>4.5599999999999996</v>
      </c>
      <c r="M346">
        <v>0</v>
      </c>
      <c r="N346">
        <f>LN(1+Table1[[#This Row],[Redness]])</f>
        <v>5.1540982857978479</v>
      </c>
      <c r="O346">
        <f>LN(1+Table1[[#This Row],[Greeness]])</f>
        <v>4.6122732585327775</v>
      </c>
      <c r="P346">
        <f>LN(1+Table1[[#This Row],[Blueness]])</f>
        <v>2.3383661283864861</v>
      </c>
      <c r="Q346">
        <f>LN(1+Table1[[#This Row],[L* lab]])</f>
        <v>3.9187428770313772</v>
      </c>
      <c r="R346">
        <f>LN(1+Table1[[#This Row],[a* lab]]+128)</f>
        <v>5.0279970344580587</v>
      </c>
      <c r="S346">
        <f>LN(1+Table1[[#This Row],[b* lab]]+128)</f>
        <v>5.2160185025877226</v>
      </c>
      <c r="T346">
        <f>LN(1+Table1[[#This Row],[Hue]])</f>
        <v>3.5352339199291323</v>
      </c>
      <c r="U346">
        <f>LN(1+Table1[[#This Row],[Saturation]])</f>
        <v>4.559754968020397</v>
      </c>
      <c r="V346">
        <f>LN(1+Table1[[#This Row],[Value]])</f>
        <v>4.2269174051262608</v>
      </c>
      <c r="W346" t="s">
        <v>26</v>
      </c>
    </row>
    <row r="347" spans="1:23" x14ac:dyDescent="0.3">
      <c r="A347">
        <v>200</v>
      </c>
      <c r="B347">
        <v>170.387733330196</v>
      </c>
      <c r="C347">
        <v>97.102733732103701</v>
      </c>
      <c r="D347">
        <v>5.8466226511004802</v>
      </c>
      <c r="E347">
        <v>48.475872872231903</v>
      </c>
      <c r="F347">
        <v>24.254710553418001</v>
      </c>
      <c r="G347">
        <v>55.288418198598897</v>
      </c>
      <c r="H347">
        <v>33.276587487845497</v>
      </c>
      <c r="I347">
        <v>96.568636405432798</v>
      </c>
      <c r="J347">
        <v>66.818718953018006</v>
      </c>
      <c r="K347" t="s">
        <v>1</v>
      </c>
      <c r="L347">
        <v>4.5599999999999996</v>
      </c>
      <c r="M347">
        <v>0</v>
      </c>
      <c r="N347">
        <f>LN(1+Table1[[#This Row],[Redness]])</f>
        <v>5.1439284361008299</v>
      </c>
      <c r="O347">
        <f>LN(1+Table1[[#This Row],[Greeness]])</f>
        <v>4.5860152329730939</v>
      </c>
      <c r="P347">
        <f>LN(1+Table1[[#This Row],[Blueness]])</f>
        <v>1.9237554870531881</v>
      </c>
      <c r="Q347">
        <f>LN(1+Table1[[#This Row],[L* lab]])</f>
        <v>3.9014851340259127</v>
      </c>
      <c r="R347">
        <f>LN(1+Table1[[#This Row],[a* lab]]+128)</f>
        <v>5.032101312049754</v>
      </c>
      <c r="S347">
        <f>LN(1+Table1[[#This Row],[b* lab]]+128)</f>
        <v>5.2165020205882637</v>
      </c>
      <c r="T347">
        <f>LN(1+Table1[[#This Row],[Hue]])</f>
        <v>3.5344625405784562</v>
      </c>
      <c r="U347">
        <f>LN(1+Table1[[#This Row],[Saturation]])</f>
        <v>4.5805560934706246</v>
      </c>
      <c r="V347">
        <f>LN(1+Table1[[#This Row],[Value]])</f>
        <v>4.2168382475927899</v>
      </c>
    </row>
    <row r="348" spans="1:23" x14ac:dyDescent="0.3">
      <c r="A348">
        <v>200</v>
      </c>
      <c r="B348">
        <v>171.77122221905901</v>
      </c>
      <c r="C348">
        <v>97.771200248535195</v>
      </c>
      <c r="D348">
        <v>10.686006608925201</v>
      </c>
      <c r="E348">
        <v>48.837325122836198</v>
      </c>
      <c r="F348">
        <v>24.562736186240901</v>
      </c>
      <c r="G348">
        <v>54.531719943672897</v>
      </c>
      <c r="H348">
        <v>32.436940898552997</v>
      </c>
      <c r="I348">
        <v>93.778930794765202</v>
      </c>
      <c r="J348">
        <v>67.361263615317398</v>
      </c>
      <c r="K348" t="s">
        <v>1</v>
      </c>
      <c r="L348">
        <v>4.5599999999999996</v>
      </c>
      <c r="M348">
        <v>0</v>
      </c>
      <c r="N348">
        <f>LN(1+Table1[[#This Row],[Redness]])</f>
        <v>5.1519683044167994</v>
      </c>
      <c r="O348">
        <f>LN(1+Table1[[#This Row],[Greeness]])</f>
        <v>4.5928060668005921</v>
      </c>
      <c r="P348">
        <f>LN(1+Table1[[#This Row],[Blueness]])</f>
        <v>2.4583921096742043</v>
      </c>
      <c r="Q348">
        <f>LN(1+Table1[[#This Row],[L* lab]])</f>
        <v>3.9087642037539623</v>
      </c>
      <c r="R348">
        <f>LN(1+Table1[[#This Row],[a* lab]]+128)</f>
        <v>5.0341091883265543</v>
      </c>
      <c r="S348">
        <f>LN(1+Table1[[#This Row],[b* lab]]+128)</f>
        <v>5.2123875132843933</v>
      </c>
      <c r="T348">
        <f>LN(1+Table1[[#This Row],[Hue]])</f>
        <v>3.5096613037254931</v>
      </c>
      <c r="U348">
        <f>LN(1+Table1[[#This Row],[Saturation]])</f>
        <v>4.5515471355596402</v>
      </c>
      <c r="V348">
        <f>LN(1+Table1[[#This Row],[Value]])</f>
        <v>4.2248063427944755</v>
      </c>
    </row>
    <row r="349" spans="1:23" x14ac:dyDescent="0.3">
      <c r="A349">
        <v>200</v>
      </c>
      <c r="B349">
        <v>168.36639999689899</v>
      </c>
      <c r="C349">
        <v>93.790378920986697</v>
      </c>
      <c r="D349">
        <v>6.6871400550461901</v>
      </c>
      <c r="E349">
        <v>47.430678039576399</v>
      </c>
      <c r="F349">
        <v>25.215978281995099</v>
      </c>
      <c r="G349">
        <v>54.239432607976298</v>
      </c>
      <c r="H349">
        <v>32.324457285591102</v>
      </c>
      <c r="I349">
        <v>96.028221750201098</v>
      </c>
      <c r="J349">
        <v>66.026039214470501</v>
      </c>
      <c r="K349" t="s">
        <v>1</v>
      </c>
      <c r="L349">
        <v>4.5599999999999996</v>
      </c>
      <c r="M349">
        <v>0</v>
      </c>
      <c r="N349">
        <f>LN(1+Table1[[#This Row],[Redness]])</f>
        <v>5.1320644154188173</v>
      </c>
      <c r="O349">
        <f>LN(1+Table1[[#This Row],[Greeness]])</f>
        <v>4.5516679159354574</v>
      </c>
      <c r="P349">
        <f>LN(1+Table1[[#This Row],[Blueness]])</f>
        <v>2.0395488099286343</v>
      </c>
      <c r="Q349">
        <f>LN(1+Table1[[#This Row],[L* lab]])</f>
        <v>3.8801334567213535</v>
      </c>
      <c r="R349">
        <f>LN(1+Table1[[#This Row],[a* lab]]+128)</f>
        <v>5.0383540762668</v>
      </c>
      <c r="S349">
        <f>LN(1+Table1[[#This Row],[b* lab]]+128)</f>
        <v>5.2107936725717936</v>
      </c>
      <c r="T349">
        <f>LN(1+Table1[[#This Row],[Hue]])</f>
        <v>3.5062915804285191</v>
      </c>
      <c r="U349">
        <f>LN(1+Table1[[#This Row],[Saturation]])</f>
        <v>4.5750018820651999</v>
      </c>
      <c r="V349">
        <f>LN(1+Table1[[#This Row],[Value]])</f>
        <v>4.2050811888801602</v>
      </c>
    </row>
    <row r="350" spans="1:23" x14ac:dyDescent="0.3">
      <c r="A350">
        <v>200</v>
      </c>
      <c r="B350">
        <v>175.68017777454301</v>
      </c>
      <c r="C350">
        <v>101.672332705104</v>
      </c>
      <c r="D350">
        <v>15.4307676727458</v>
      </c>
      <c r="E350">
        <v>50.297324201693002</v>
      </c>
      <c r="F350">
        <v>24.190539539023</v>
      </c>
      <c r="G350">
        <v>54.702774626362199</v>
      </c>
      <c r="H350">
        <v>32.290252417493797</v>
      </c>
      <c r="I350">
        <v>91.216557344022704</v>
      </c>
      <c r="J350">
        <v>68.894187362565901</v>
      </c>
      <c r="K350" t="s">
        <v>1</v>
      </c>
      <c r="L350">
        <v>4.5599999999999996</v>
      </c>
      <c r="M350">
        <v>0</v>
      </c>
      <c r="N350">
        <f>LN(1+Table1[[#This Row],[Redness]])</f>
        <v>5.1743411929228786</v>
      </c>
      <c r="O350">
        <f>LN(1+Table1[[#This Row],[Greeness]])</f>
        <v>4.6315426814687033</v>
      </c>
      <c r="P350">
        <f>LN(1+Table1[[#This Row],[Blueness]])</f>
        <v>2.7991556548009751</v>
      </c>
      <c r="Q350">
        <f>LN(1+Table1[[#This Row],[L* lab]])</f>
        <v>3.9376385910053009</v>
      </c>
      <c r="R350">
        <f>LN(1+Table1[[#This Row],[a* lab]]+128)</f>
        <v>5.0316825030434886</v>
      </c>
      <c r="S350">
        <f>LN(1+Table1[[#This Row],[b* lab]]+128)</f>
        <v>5.2133190962243914</v>
      </c>
      <c r="T350">
        <f>LN(1+Table1[[#This Row],[Hue]])</f>
        <v>3.5052646339400977</v>
      </c>
      <c r="U350">
        <f>LN(1+Table1[[#This Row],[Saturation]])</f>
        <v>4.5241396951776309</v>
      </c>
      <c r="V350">
        <f>LN(1+Table1[[#This Row],[Value]])</f>
        <v>4.2469824893094827</v>
      </c>
    </row>
    <row r="351" spans="1:23" x14ac:dyDescent="0.3">
      <c r="A351">
        <v>200</v>
      </c>
      <c r="B351">
        <v>176.01884444120299</v>
      </c>
      <c r="C351">
        <v>101.987532634264</v>
      </c>
      <c r="D351">
        <v>16.315192432790901</v>
      </c>
      <c r="E351">
        <v>50.420491757995599</v>
      </c>
      <c r="F351">
        <v>24.179759905032899</v>
      </c>
      <c r="G351">
        <v>54.587404644471903</v>
      </c>
      <c r="H351">
        <v>32.186743054677599</v>
      </c>
      <c r="I351">
        <v>90.730996738113006</v>
      </c>
      <c r="J351">
        <v>69.026997820079799</v>
      </c>
      <c r="K351" t="s">
        <v>1</v>
      </c>
      <c r="L351">
        <v>4.5599999999999996</v>
      </c>
      <c r="M351">
        <v>0</v>
      </c>
      <c r="N351">
        <f>LN(1+Table1[[#This Row],[Redness]])</f>
        <v>5.1762561926762594</v>
      </c>
      <c r="O351">
        <f>LN(1+Table1[[#This Row],[Greeness]])</f>
        <v>4.6346079385176289</v>
      </c>
      <c r="P351">
        <f>LN(1+Table1[[#This Row],[Blueness]])</f>
        <v>2.8515842914392304</v>
      </c>
      <c r="Q351">
        <f>LN(1+Table1[[#This Row],[L* lab]])</f>
        <v>3.9400367653469641</v>
      </c>
      <c r="R351">
        <f>LN(1+Table1[[#This Row],[a* lab]]+128)</f>
        <v>5.0316121330760728</v>
      </c>
      <c r="S351">
        <f>LN(1+Table1[[#This Row],[b* lab]]+128)</f>
        <v>5.212690873678862</v>
      </c>
      <c r="T351">
        <f>LN(1+Table1[[#This Row],[Hue]])</f>
        <v>3.50215049059674</v>
      </c>
      <c r="U351">
        <f>LN(1+Table1[[#This Row],[Saturation]])</f>
        <v>4.5188603454617997</v>
      </c>
      <c r="V351">
        <f>LN(1+Table1[[#This Row],[Value]])</f>
        <v>4.2488808508367306</v>
      </c>
    </row>
    <row r="352" spans="1:23" x14ac:dyDescent="0.3">
      <c r="A352">
        <v>200</v>
      </c>
      <c r="B352">
        <v>172.03484444127599</v>
      </c>
      <c r="C352">
        <v>98.034822411509396</v>
      </c>
      <c r="D352">
        <v>13.034554337942399</v>
      </c>
      <c r="E352">
        <v>48.942755253010702</v>
      </c>
      <c r="F352">
        <v>24.567807337837799</v>
      </c>
      <c r="G352">
        <v>54.080775811792499</v>
      </c>
      <c r="H352">
        <v>32.0755143345934</v>
      </c>
      <c r="I352">
        <v>92.423305650506293</v>
      </c>
      <c r="J352">
        <v>67.464644878932106</v>
      </c>
      <c r="K352" t="s">
        <v>1</v>
      </c>
      <c r="L352">
        <v>4.5599999999999996</v>
      </c>
      <c r="M352">
        <v>0</v>
      </c>
      <c r="N352">
        <f>LN(1+Table1[[#This Row],[Redness]])</f>
        <v>5.1534929871722657</v>
      </c>
      <c r="O352">
        <f>LN(1+Table1[[#This Row],[Greeness]])</f>
        <v>4.5954715298184379</v>
      </c>
      <c r="P352">
        <f>LN(1+Table1[[#This Row],[Blueness]])</f>
        <v>2.6415224556896248</v>
      </c>
      <c r="Q352">
        <f>LN(1+Table1[[#This Row],[L* lab]])</f>
        <v>3.9108774545954819</v>
      </c>
      <c r="R352">
        <f>LN(1+Table1[[#This Row],[a* lab]]+128)</f>
        <v>5.0341422111027265</v>
      </c>
      <c r="S352">
        <f>LN(1+Table1[[#This Row],[b* lab]]+128)</f>
        <v>5.2099274533326811</v>
      </c>
      <c r="T352">
        <f>LN(1+Table1[[#This Row],[Hue]])</f>
        <v>3.4987932604347107</v>
      </c>
      <c r="U352">
        <f>LN(1+Table1[[#This Row],[Saturation]])</f>
        <v>4.5371408392745911</v>
      </c>
      <c r="V352">
        <f>LN(1+Table1[[#This Row],[Value]])</f>
        <v>4.226317478871338</v>
      </c>
    </row>
    <row r="353" spans="1:23" x14ac:dyDescent="0.3">
      <c r="A353">
        <v>200</v>
      </c>
      <c r="B353">
        <v>171.40127221906599</v>
      </c>
      <c r="C353">
        <v>97.346494788430505</v>
      </c>
      <c r="D353">
        <v>12.4557505535528</v>
      </c>
      <c r="E353">
        <v>48.693294528418498</v>
      </c>
      <c r="F353">
        <v>24.662845750791401</v>
      </c>
      <c r="G353">
        <v>53.995923163057</v>
      </c>
      <c r="H353">
        <v>32.045222795338297</v>
      </c>
      <c r="I353">
        <v>92.732988272319602</v>
      </c>
      <c r="J353">
        <v>67.216185183947502</v>
      </c>
      <c r="K353" t="s">
        <v>1</v>
      </c>
      <c r="L353">
        <v>4.5599999999999996</v>
      </c>
      <c r="M353">
        <v>0</v>
      </c>
      <c r="N353">
        <f>LN(1+Table1[[#This Row],[Redness]])</f>
        <v>5.1498247376633044</v>
      </c>
      <c r="O353">
        <f>LN(1+Table1[[#This Row],[Greeness]])</f>
        <v>4.5884969040212988</v>
      </c>
      <c r="P353">
        <f>LN(1+Table1[[#This Row],[Blueness]])</f>
        <v>2.5994065651242204</v>
      </c>
      <c r="Q353">
        <f>LN(1+Table1[[#This Row],[L* lab]])</f>
        <v>3.9058700050549016</v>
      </c>
      <c r="R353">
        <f>LN(1+Table1[[#This Row],[a* lab]]+128)</f>
        <v>5.0347608890570887</v>
      </c>
      <c r="S353">
        <f>LN(1+Table1[[#This Row],[b* lab]]+128)</f>
        <v>5.2094638747957642</v>
      </c>
      <c r="T353">
        <f>LN(1+Table1[[#This Row],[Hue]])</f>
        <v>3.4978770110796935</v>
      </c>
      <c r="U353">
        <f>LN(1+Table1[[#This Row],[Saturation]])</f>
        <v>4.5404501899563563</v>
      </c>
      <c r="V353">
        <f>LN(1+Table1[[#This Row],[Value]])</f>
        <v>4.2226818561063393</v>
      </c>
    </row>
    <row r="354" spans="1:23" x14ac:dyDescent="0.3">
      <c r="A354">
        <v>300</v>
      </c>
      <c r="B354">
        <v>171.8581389</v>
      </c>
      <c r="C354">
        <v>103.4854934</v>
      </c>
      <c r="D354">
        <v>18.189289609999999</v>
      </c>
      <c r="E354">
        <v>50.213660300000001</v>
      </c>
      <c r="F354">
        <v>21.567225749999999</v>
      </c>
      <c r="G354">
        <v>53.629250810000002</v>
      </c>
      <c r="H354">
        <v>33.303901549999999</v>
      </c>
      <c r="I354">
        <v>89.416102300000006</v>
      </c>
      <c r="J354">
        <v>67.395348580000004</v>
      </c>
      <c r="K354" t="s">
        <v>1</v>
      </c>
      <c r="L354" s="3">
        <v>6.84</v>
      </c>
      <c r="M354">
        <v>0</v>
      </c>
      <c r="N354">
        <f>LN(1+Table1[[#This Row],[Redness]])</f>
        <v>5.1524712517502769</v>
      </c>
      <c r="O354">
        <f>LN(1+Table1[[#This Row],[Greeness]])</f>
        <v>4.6490482426298412</v>
      </c>
      <c r="P354">
        <f>LN(1+Table1[[#This Row],[Blueness]])</f>
        <v>2.9543522905746267</v>
      </c>
      <c r="Q354">
        <f>LN(1+Table1[[#This Row],[L* lab]])</f>
        <v>3.9360062991943168</v>
      </c>
      <c r="R354">
        <f>LN(1+Table1[[#This Row],[a* lab]]+128)</f>
        <v>5.0144096671801535</v>
      </c>
      <c r="S354">
        <f>LN(1+Table1[[#This Row],[b* lab]]+128)</f>
        <v>5.2074581459669869</v>
      </c>
      <c r="T354">
        <f>LN(1+Table1[[#This Row],[Hue]])</f>
        <v>3.5352590955165133</v>
      </c>
      <c r="U354">
        <f>LN(1+Table1[[#This Row],[Saturation]])</f>
        <v>4.5044223743237612</v>
      </c>
      <c r="V354">
        <f>LN(1+Table1[[#This Row],[Value]])</f>
        <v>4.225304819099807</v>
      </c>
      <c r="W354" t="s">
        <v>26</v>
      </c>
    </row>
    <row r="355" spans="1:23" x14ac:dyDescent="0.3">
      <c r="A355">
        <v>300</v>
      </c>
      <c r="B355">
        <v>168.62633333022799</v>
      </c>
      <c r="C355">
        <v>100.361777444091</v>
      </c>
      <c r="D355">
        <v>15.3177257442446</v>
      </c>
      <c r="E355">
        <v>49.025338730250397</v>
      </c>
      <c r="F355">
        <v>21.819576974922398</v>
      </c>
      <c r="G355">
        <v>53.334796922659201</v>
      </c>
      <c r="H355">
        <v>33.283474309353103</v>
      </c>
      <c r="I355">
        <v>90.916172200549894</v>
      </c>
      <c r="J355">
        <v>66.127973854991495</v>
      </c>
      <c r="K355" t="s">
        <v>1</v>
      </c>
      <c r="L355">
        <v>6.84</v>
      </c>
      <c r="M355">
        <v>0</v>
      </c>
      <c r="N355">
        <f>LN(1+Table1[[#This Row],[Redness]])</f>
        <v>5.1335979785823742</v>
      </c>
      <c r="O355">
        <f>LN(1+Table1[[#This Row],[Greeness]])</f>
        <v>4.6186960718110939</v>
      </c>
      <c r="P355">
        <f>LN(1+Table1[[#This Row],[Blueness]])</f>
        <v>2.792251985918722</v>
      </c>
      <c r="Q355">
        <f>LN(1+Table1[[#This Row],[L* lab]])</f>
        <v>3.9125296516662709</v>
      </c>
      <c r="R355">
        <f>LN(1+Table1[[#This Row],[a* lab]]+128)</f>
        <v>5.0160842679364768</v>
      </c>
      <c r="S355">
        <f>LN(1+Table1[[#This Row],[b* lab]]+128)</f>
        <v>5.2058445407197862</v>
      </c>
      <c r="T355">
        <f>LN(1+Table1[[#This Row],[Hue]])</f>
        <v>3.5346634395085399</v>
      </c>
      <c r="U355">
        <f>LN(1+Table1[[#This Row],[Saturation]])</f>
        <v>4.520876989946589</v>
      </c>
      <c r="V355">
        <f>LN(1+Table1[[#This Row],[Value]])</f>
        <v>4.2066008550877658</v>
      </c>
    </row>
    <row r="356" spans="1:23" x14ac:dyDescent="0.3">
      <c r="A356">
        <v>300</v>
      </c>
      <c r="B356">
        <v>167.99677777468401</v>
      </c>
      <c r="C356">
        <v>97.996755753398105</v>
      </c>
      <c r="D356">
        <v>12.1982840616917</v>
      </c>
      <c r="E356">
        <v>48.369967965491703</v>
      </c>
      <c r="F356">
        <v>22.805485267158499</v>
      </c>
      <c r="G356">
        <v>53.604136837569101</v>
      </c>
      <c r="H356">
        <v>33.042092890741898</v>
      </c>
      <c r="I356">
        <v>92.738977364165805</v>
      </c>
      <c r="J356">
        <v>65.881089323405604</v>
      </c>
      <c r="K356" t="s">
        <v>1</v>
      </c>
      <c r="L356">
        <v>6.84</v>
      </c>
      <c r="M356">
        <v>0</v>
      </c>
      <c r="N356">
        <f>LN(1+Table1[[#This Row],[Redness]])</f>
        <v>5.129879648319319</v>
      </c>
      <c r="O356">
        <f>LN(1+Table1[[#This Row],[Greeness]])</f>
        <v>4.5950870794299403</v>
      </c>
      <c r="P356">
        <f>LN(1+Table1[[#This Row],[Blueness]])</f>
        <v>2.5800868258158141</v>
      </c>
      <c r="Q356">
        <f>LN(1+Table1[[#This Row],[L* lab]])</f>
        <v>3.8993423034046852</v>
      </c>
      <c r="R356">
        <f>LN(1+Table1[[#This Row],[a* lab]]+128)</f>
        <v>5.0225999991384489</v>
      </c>
      <c r="S356">
        <f>LN(1+Table1[[#This Row],[b* lab]]+128)</f>
        <v>5.2073206230935591</v>
      </c>
      <c r="T356">
        <f>LN(1+Table1[[#This Row],[Hue]])</f>
        <v>3.5275977850919431</v>
      </c>
      <c r="U356">
        <f>LN(1+Table1[[#This Row],[Saturation]])</f>
        <v>4.5405140831558324</v>
      </c>
      <c r="V356">
        <f>LN(1+Table1[[#This Row],[Value]])</f>
        <v>4.2029162563741496</v>
      </c>
    </row>
    <row r="357" spans="1:23" x14ac:dyDescent="0.3">
      <c r="A357">
        <v>300</v>
      </c>
      <c r="B357">
        <v>169.9474333</v>
      </c>
      <c r="C357">
        <v>99.035555520000003</v>
      </c>
      <c r="D357">
        <v>12.6586877</v>
      </c>
      <c r="E357">
        <v>48.885350080000002</v>
      </c>
      <c r="F357">
        <v>23.09781328</v>
      </c>
      <c r="G357">
        <v>53.963923569999999</v>
      </c>
      <c r="H357">
        <v>32.949668770000002</v>
      </c>
      <c r="I357">
        <v>92.551409890000002</v>
      </c>
      <c r="J357">
        <v>66.64605229</v>
      </c>
      <c r="K357" t="s">
        <v>1</v>
      </c>
      <c r="L357" s="3">
        <v>6.84</v>
      </c>
      <c r="M357">
        <v>0</v>
      </c>
      <c r="N357">
        <f>LN(1+Table1[[#This Row],[Redness]])</f>
        <v>5.1413561016409179</v>
      </c>
      <c r="O357">
        <f>LN(1+Table1[[#This Row],[Greeness]])</f>
        <v>4.6055256779933202</v>
      </c>
      <c r="P357">
        <f>LN(1+Table1[[#This Row],[Blueness]])</f>
        <v>2.6143757807136843</v>
      </c>
      <c r="Q357">
        <f>LN(1+Table1[[#This Row],[L* lab]])</f>
        <v>3.9097273740816503</v>
      </c>
      <c r="R357">
        <f>LN(1+Table1[[#This Row],[a* lab]]+128)</f>
        <v>5.0245238223045687</v>
      </c>
      <c r="S357">
        <f>LN(1+Table1[[#This Row],[b* lab]]+128)</f>
        <v>5.2092889944452327</v>
      </c>
      <c r="T357">
        <f>LN(1+Table1[[#This Row],[Hue]])</f>
        <v>3.524879097550631</v>
      </c>
      <c r="U357">
        <f>LN(1+Table1[[#This Row],[Saturation]])</f>
        <v>4.5385111235846196</v>
      </c>
      <c r="V357">
        <f>LN(1+Table1[[#This Row],[Value]])</f>
        <v>4.2142889979990787</v>
      </c>
      <c r="W357" t="s">
        <v>26</v>
      </c>
    </row>
    <row r="358" spans="1:23" x14ac:dyDescent="0.3">
      <c r="A358">
        <v>300</v>
      </c>
      <c r="B358">
        <v>170.53044444130401</v>
      </c>
      <c r="C358">
        <v>100.882243993785</v>
      </c>
      <c r="D358">
        <v>16.242260722678601</v>
      </c>
      <c r="E358">
        <v>49.411240125111199</v>
      </c>
      <c r="F358">
        <v>22.385771365261299</v>
      </c>
      <c r="G358">
        <v>53.5060208467007</v>
      </c>
      <c r="H358">
        <v>32.915022225731903</v>
      </c>
      <c r="I358">
        <v>90.475448078557505</v>
      </c>
      <c r="J358">
        <v>66.874684094629202</v>
      </c>
      <c r="K358" t="s">
        <v>1</v>
      </c>
      <c r="L358">
        <v>6.84</v>
      </c>
      <c r="M358">
        <v>0</v>
      </c>
      <c r="N358">
        <f>LN(1+Table1[[#This Row],[Redness]])</f>
        <v>5.1447607694596176</v>
      </c>
      <c r="O358">
        <f>LN(1+Table1[[#This Row],[Greeness]])</f>
        <v>4.6238176757205265</v>
      </c>
      <c r="P358">
        <f>LN(1+Table1[[#This Row],[Blueness]])</f>
        <v>2.8473633890443959</v>
      </c>
      <c r="Q358">
        <f>LN(1+Table1[[#This Row],[L* lab]])</f>
        <v>3.9202141685678074</v>
      </c>
      <c r="R358">
        <f>LN(1+Table1[[#This Row],[a* lab]]+128)</f>
        <v>5.0198313561725225</v>
      </c>
      <c r="S358">
        <f>LN(1+Table1[[#This Row],[b* lab]]+128)</f>
        <v>5.2067831634191828</v>
      </c>
      <c r="T358">
        <f>LN(1+Table1[[#This Row],[Hue]])</f>
        <v>3.5238580497341663</v>
      </c>
      <c r="U358">
        <f>LN(1+Table1[[#This Row],[Saturation]])</f>
        <v>4.516070609265042</v>
      </c>
      <c r="V358">
        <f>LN(1+Table1[[#This Row],[Value]])</f>
        <v>4.2176631240204943</v>
      </c>
    </row>
    <row r="359" spans="1:23" x14ac:dyDescent="0.3">
      <c r="A359">
        <v>300</v>
      </c>
      <c r="B359">
        <v>168.12035555246001</v>
      </c>
      <c r="C359">
        <v>97.949222430747696</v>
      </c>
      <c r="D359">
        <v>12.819181353662</v>
      </c>
      <c r="E359">
        <v>48.378451417166403</v>
      </c>
      <c r="F359">
        <v>22.898259101623101</v>
      </c>
      <c r="G359">
        <v>53.448046343479398</v>
      </c>
      <c r="H359">
        <v>32.889657731027398</v>
      </c>
      <c r="I359">
        <v>92.374997476339402</v>
      </c>
      <c r="J359">
        <v>65.929551197043097</v>
      </c>
      <c r="K359" t="s">
        <v>1</v>
      </c>
      <c r="L359">
        <v>6.84</v>
      </c>
      <c r="M359">
        <v>0</v>
      </c>
      <c r="N359">
        <f>LN(1+Table1[[#This Row],[Redness]])</f>
        <v>5.1306106244876224</v>
      </c>
      <c r="O359">
        <f>LN(1+Table1[[#This Row],[Greeness]])</f>
        <v>4.5946068138140372</v>
      </c>
      <c r="P359">
        <f>LN(1+Table1[[#This Row],[Blueness]])</f>
        <v>2.626057580236357</v>
      </c>
      <c r="Q359">
        <f>LN(1+Table1[[#This Row],[L* lab]])</f>
        <v>3.8995141228980725</v>
      </c>
      <c r="R359">
        <f>LN(1+Table1[[#This Row],[a* lab]]+128)</f>
        <v>5.0232109487172441</v>
      </c>
      <c r="S359">
        <f>LN(1+Table1[[#This Row],[b* lab]]+128)</f>
        <v>5.2064654549242189</v>
      </c>
      <c r="T359">
        <f>LN(1+Table1[[#This Row],[Hue]])</f>
        <v>3.5231098861589136</v>
      </c>
      <c r="U359">
        <f>LN(1+Table1[[#This Row],[Saturation]])</f>
        <v>4.5366236164258265</v>
      </c>
      <c r="V359">
        <f>LN(1+Table1[[#This Row],[Value]])</f>
        <v>4.2036405915326664</v>
      </c>
    </row>
    <row r="360" spans="1:23" x14ac:dyDescent="0.3">
      <c r="A360">
        <v>300</v>
      </c>
      <c r="B360">
        <v>167.08608888581199</v>
      </c>
      <c r="C360">
        <v>96.317711686312094</v>
      </c>
      <c r="D360">
        <v>10.7334944408905</v>
      </c>
      <c r="E360">
        <v>47.847171760666697</v>
      </c>
      <c r="F360">
        <v>23.315232977807199</v>
      </c>
      <c r="G360">
        <v>53.5152976335606</v>
      </c>
      <c r="H360">
        <v>32.842774710298798</v>
      </c>
      <c r="I360">
        <v>93.576069370906197</v>
      </c>
      <c r="J360">
        <v>65.523956425808706</v>
      </c>
      <c r="K360" t="s">
        <v>1</v>
      </c>
      <c r="L360">
        <v>6.84</v>
      </c>
      <c r="M360">
        <v>0</v>
      </c>
      <c r="N360">
        <f>LN(1+Table1[[#This Row],[Redness]])</f>
        <v>5.1244762819979917</v>
      </c>
      <c r="O360">
        <f>LN(1+Table1[[#This Row],[Greeness]])</f>
        <v>4.5779810043457454</v>
      </c>
      <c r="P360">
        <f>LN(1+Table1[[#This Row],[Blueness]])</f>
        <v>2.4624475245993889</v>
      </c>
      <c r="Q360">
        <f>LN(1+Table1[[#This Row],[L* lab]])</f>
        <v>3.8886964804087731</v>
      </c>
      <c r="R360">
        <f>LN(1+Table1[[#This Row],[a* lab]]+128)</f>
        <v>5.0259522744517415</v>
      </c>
      <c r="S360">
        <f>LN(1+Table1[[#This Row],[b* lab]]+128)</f>
        <v>5.2068339921592717</v>
      </c>
      <c r="T360">
        <f>LN(1+Table1[[#This Row],[Hue]])</f>
        <v>3.5217255263618066</v>
      </c>
      <c r="U360">
        <f>LN(1+Table1[[#This Row],[Saturation]])</f>
        <v>4.549404477575508</v>
      </c>
      <c r="V360">
        <f>LN(1+Table1[[#This Row],[Value]])</f>
        <v>4.1975621297930781</v>
      </c>
    </row>
    <row r="361" spans="1:23" x14ac:dyDescent="0.3">
      <c r="A361">
        <v>300</v>
      </c>
      <c r="B361">
        <v>173.04035555236899</v>
      </c>
      <c r="C361">
        <v>99.017933301670297</v>
      </c>
      <c r="D361">
        <v>12.7709157612294</v>
      </c>
      <c r="E361">
        <v>49.3072317333895</v>
      </c>
      <c r="F361">
        <v>24.462319974235001</v>
      </c>
      <c r="G361">
        <v>54.458121768312402</v>
      </c>
      <c r="H361">
        <v>32.288258193016503</v>
      </c>
      <c r="I361">
        <v>92.619689366412203</v>
      </c>
      <c r="J361">
        <v>67.858962961713502</v>
      </c>
      <c r="K361" t="s">
        <v>1</v>
      </c>
      <c r="L361">
        <v>6.84</v>
      </c>
      <c r="M361">
        <v>0</v>
      </c>
      <c r="N361">
        <f>LN(1+Table1[[#This Row],[Redness]])</f>
        <v>5.1592872007851716</v>
      </c>
      <c r="O361">
        <f>LN(1+Table1[[#This Row],[Greeness]])</f>
        <v>4.6053495029265514</v>
      </c>
      <c r="P361">
        <f>LN(1+Table1[[#This Row],[Blueness]])</f>
        <v>2.6225588146127361</v>
      </c>
      <c r="Q361">
        <f>LN(1+Table1[[#This Row],[L* lab]])</f>
        <v>3.9181488388070616</v>
      </c>
      <c r="R361">
        <f>LN(1+Table1[[#This Row],[a* lab]]+128)</f>
        <v>5.0334550644133973</v>
      </c>
      <c r="S361">
        <f>LN(1+Table1[[#This Row],[b* lab]]+128)</f>
        <v>5.2119864222023962</v>
      </c>
      <c r="T361">
        <f>LN(1+Table1[[#This Row],[Hue]])</f>
        <v>3.5052047279896761</v>
      </c>
      <c r="U361">
        <f>LN(1+Table1[[#This Row],[Saturation]])</f>
        <v>4.539240717840487</v>
      </c>
      <c r="V361">
        <f>LN(1+Table1[[#This Row],[Value]])</f>
        <v>4.2320603976998701</v>
      </c>
    </row>
    <row r="362" spans="1:23" x14ac:dyDescent="0.3">
      <c r="A362">
        <v>300</v>
      </c>
      <c r="B362">
        <v>169.827733330206</v>
      </c>
      <c r="C362">
        <v>98.438911209580993</v>
      </c>
      <c r="D362">
        <v>15.7324498471773</v>
      </c>
      <c r="E362">
        <v>48.739483875355504</v>
      </c>
      <c r="F362">
        <v>23.428413580614901</v>
      </c>
      <c r="G362">
        <v>53.077176408366398</v>
      </c>
      <c r="H362">
        <v>32.203371638501402</v>
      </c>
      <c r="I362">
        <v>90.736230450307005</v>
      </c>
      <c r="J362">
        <v>66.599111109884802</v>
      </c>
      <c r="K362" t="s">
        <v>1</v>
      </c>
      <c r="L362">
        <v>6.84</v>
      </c>
      <c r="M362">
        <v>0</v>
      </c>
      <c r="N362">
        <f>LN(1+Table1[[#This Row],[Redness]])</f>
        <v>5.1406556413010502</v>
      </c>
      <c r="O362">
        <f>LN(1+Table1[[#This Row],[Greeness]])</f>
        <v>4.5995434979226912</v>
      </c>
      <c r="P362">
        <f>LN(1+Table1[[#This Row],[Blueness]])</f>
        <v>2.8173499386582592</v>
      </c>
      <c r="Q362">
        <f>LN(1+Table1[[#This Row],[L* lab]])</f>
        <v>3.9067990618709909</v>
      </c>
      <c r="R362">
        <f>LN(1+Table1[[#This Row],[a* lab]]+128)</f>
        <v>5.0266950666922998</v>
      </c>
      <c r="S362">
        <f>LN(1+Table1[[#This Row],[b* lab]]+128)</f>
        <v>5.2044306433944296</v>
      </c>
      <c r="T362">
        <f>LN(1+Table1[[#This Row],[Hue]])</f>
        <v>3.5026514261425929</v>
      </c>
      <c r="U362">
        <f>LN(1+Table1[[#This Row],[Saturation]])</f>
        <v>4.5189173988361331</v>
      </c>
      <c r="V362">
        <f>LN(1+Table1[[#This Row],[Value]])</f>
        <v>4.213594833700407</v>
      </c>
    </row>
    <row r="363" spans="1:23" x14ac:dyDescent="0.3">
      <c r="A363">
        <v>300</v>
      </c>
      <c r="B363">
        <v>174.03199999679501</v>
      </c>
      <c r="C363">
        <v>99.917488655054299</v>
      </c>
      <c r="D363">
        <v>14.5022550050644</v>
      </c>
      <c r="E363">
        <v>49.659025210918699</v>
      </c>
      <c r="F363">
        <v>24.428621058837699</v>
      </c>
      <c r="G363">
        <v>54.338985784174099</v>
      </c>
      <c r="H363">
        <v>32.125131393302397</v>
      </c>
      <c r="I363">
        <v>91.666903210138599</v>
      </c>
      <c r="J363">
        <v>68.247843135998195</v>
      </c>
      <c r="K363" t="s">
        <v>1</v>
      </c>
      <c r="L363">
        <v>6.84</v>
      </c>
      <c r="M363">
        <v>0</v>
      </c>
      <c r="N363">
        <f>LN(1+Table1[[#This Row],[Redness]])</f>
        <v>5.1649688143317309</v>
      </c>
      <c r="O363">
        <f>LN(1+Table1[[#This Row],[Greeness]])</f>
        <v>4.614303238951285</v>
      </c>
      <c r="P363">
        <f>LN(1+Table1[[#This Row],[Blueness]])</f>
        <v>2.7409854975411045</v>
      </c>
      <c r="Q363">
        <f>LN(1+Table1[[#This Row],[L* lab]])</f>
        <v>3.9251174025984055</v>
      </c>
      <c r="R363">
        <f>LN(1+Table1[[#This Row],[a* lab]]+128)</f>
        <v>5.0332354494881777</v>
      </c>
      <c r="S363">
        <f>LN(1+Table1[[#This Row],[b* lab]]+128)</f>
        <v>5.2113368206331652</v>
      </c>
      <c r="T363">
        <f>LN(1+Table1[[#This Row],[Hue]])</f>
        <v>3.5002922508887804</v>
      </c>
      <c r="U363">
        <f>LN(1+Table1[[#This Row],[Saturation]])</f>
        <v>4.5290113776466647</v>
      </c>
      <c r="V363">
        <f>LN(1+Table1[[#This Row],[Value]])</f>
        <v>4.2376919985318322</v>
      </c>
    </row>
    <row r="364" spans="1:23" x14ac:dyDescent="0.3">
      <c r="A364">
        <v>300</v>
      </c>
      <c r="B364">
        <v>172.727372219041</v>
      </c>
      <c r="C364">
        <v>102.40699365110299</v>
      </c>
      <c r="D364">
        <v>21.5476037542245</v>
      </c>
      <c r="E364">
        <v>50.084481615451402</v>
      </c>
      <c r="F364">
        <v>22.688545562830299</v>
      </c>
      <c r="G364">
        <v>52.234728168060798</v>
      </c>
      <c r="H364">
        <v>32.091353512965597</v>
      </c>
      <c r="I364">
        <v>87.525078696328805</v>
      </c>
      <c r="J364">
        <v>67.736224399624206</v>
      </c>
      <c r="K364" t="s">
        <v>1</v>
      </c>
      <c r="L364">
        <v>6.84</v>
      </c>
      <c r="M364">
        <v>0</v>
      </c>
      <c r="N364">
        <f>LN(1+Table1[[#This Row],[Redness]])</f>
        <v>5.1574872441311426</v>
      </c>
      <c r="O364">
        <f>LN(1+Table1[[#This Row],[Greeness]])</f>
        <v>4.6386725966449225</v>
      </c>
      <c r="P364">
        <f>LN(1+Table1[[#This Row],[Blueness]])</f>
        <v>3.1156287966315497</v>
      </c>
      <c r="Q364">
        <f>LN(1+Table1[[#This Row],[L* lab]])</f>
        <v>3.9334807645014713</v>
      </c>
      <c r="R364">
        <f>LN(1+Table1[[#This Row],[a* lab]]+128)</f>
        <v>5.0218293763371005</v>
      </c>
      <c r="S364">
        <f>LN(1+Table1[[#This Row],[b* lab]]+128)</f>
        <v>5.1997930318017342</v>
      </c>
      <c r="T364">
        <f>LN(1+Table1[[#This Row],[Hue]])</f>
        <v>3.4992720250850562</v>
      </c>
      <c r="U364">
        <f>LN(1+Table1[[#This Row],[Saturation]])</f>
        <v>4.4832858869705046</v>
      </c>
      <c r="V364">
        <f>LN(1+Table1[[#This Row],[Value]])</f>
        <v>4.2302763441003535</v>
      </c>
    </row>
    <row r="365" spans="1:23" x14ac:dyDescent="0.3">
      <c r="A365">
        <v>300</v>
      </c>
      <c r="B365">
        <v>165.35842221917699</v>
      </c>
      <c r="C365">
        <v>93.670223392435602</v>
      </c>
      <c r="D365">
        <v>11.2431497642983</v>
      </c>
      <c r="E365">
        <v>46.989080142956396</v>
      </c>
      <c r="F365">
        <v>24.040168388686499</v>
      </c>
      <c r="G365">
        <v>52.651910618725204</v>
      </c>
      <c r="H365">
        <v>32.0904238685116</v>
      </c>
      <c r="I365">
        <v>93.200739573218698</v>
      </c>
      <c r="J365">
        <v>64.846440085951897</v>
      </c>
      <c r="K365" t="s">
        <v>1</v>
      </c>
      <c r="L365">
        <v>6.84</v>
      </c>
      <c r="M365">
        <v>0</v>
      </c>
      <c r="N365">
        <f>LN(1+Table1[[#This Row],[Redness]])</f>
        <v>5.1141446306939882</v>
      </c>
      <c r="O365">
        <f>LN(1+Table1[[#This Row],[Greeness]])</f>
        <v>4.5503995198341771</v>
      </c>
      <c r="P365">
        <f>LN(1+Table1[[#This Row],[Blueness]])</f>
        <v>2.5049665776640482</v>
      </c>
      <c r="Q365">
        <f>LN(1+Table1[[#This Row],[L* lab]])</f>
        <v>3.8709734880047764</v>
      </c>
      <c r="R365">
        <f>LN(1+Table1[[#This Row],[a* lab]]+128)</f>
        <v>5.0307004254233849</v>
      </c>
      <c r="S365">
        <f>LN(1+Table1[[#This Row],[b* lab]]+128)</f>
        <v>5.2020922767441569</v>
      </c>
      <c r="T365">
        <f>LN(1+Table1[[#This Row],[Hue]])</f>
        <v>3.4992439314166526</v>
      </c>
      <c r="U365">
        <f>LN(1+Table1[[#This Row],[Saturation]])</f>
        <v>4.5454280326472372</v>
      </c>
      <c r="V365">
        <f>LN(1+Table1[[#This Row],[Value]])</f>
        <v>4.1873253657704934</v>
      </c>
    </row>
    <row r="366" spans="1:23" x14ac:dyDescent="0.3">
      <c r="A366">
        <v>300</v>
      </c>
      <c r="B366">
        <v>176.57031110785999</v>
      </c>
      <c r="C366">
        <v>102.57028805884801</v>
      </c>
      <c r="D366">
        <v>17.569920062217601</v>
      </c>
      <c r="E366">
        <v>50.635892068723798</v>
      </c>
      <c r="F366">
        <v>24.123419374502099</v>
      </c>
      <c r="G366">
        <v>54.437356310543301</v>
      </c>
      <c r="H366">
        <v>32.075531677993297</v>
      </c>
      <c r="I366">
        <v>90.0493350484697</v>
      </c>
      <c r="J366">
        <v>69.243259257984306</v>
      </c>
      <c r="K366" t="s">
        <v>1</v>
      </c>
      <c r="L366">
        <v>6.84</v>
      </c>
      <c r="M366">
        <v>0</v>
      </c>
      <c r="N366">
        <f>LN(1+Table1[[#This Row],[Redness]])</f>
        <v>5.179366649398605</v>
      </c>
      <c r="O366">
        <f>LN(1+Table1[[#This Row],[Greeness]])</f>
        <v>4.6402504938931255</v>
      </c>
      <c r="P366">
        <f>LN(1+Table1[[#This Row],[Blueness]])</f>
        <v>2.9215430706820915</v>
      </c>
      <c r="Q366">
        <f>LN(1+Table1[[#This Row],[L* lab]])</f>
        <v>3.9442170134091814</v>
      </c>
      <c r="R366">
        <f>LN(1+Table1[[#This Row],[a* lab]]+128)</f>
        <v>5.0312442587934836</v>
      </c>
      <c r="S366">
        <f>LN(1+Table1[[#This Row],[b* lab]]+128)</f>
        <v>5.2118732267065013</v>
      </c>
      <c r="T366">
        <f>LN(1+Table1[[#This Row],[Hue]])</f>
        <v>3.4987937847922517</v>
      </c>
      <c r="U366">
        <f>LN(1+Table1[[#This Row],[Saturation]])</f>
        <v>4.511401502999993</v>
      </c>
      <c r="V366">
        <f>LN(1+Table1[[#This Row],[Value]])</f>
        <v>4.2519643499870128</v>
      </c>
    </row>
    <row r="367" spans="1:23" x14ac:dyDescent="0.3">
      <c r="A367">
        <v>300</v>
      </c>
      <c r="B367">
        <v>173.910949996797</v>
      </c>
      <c r="C367">
        <v>99.601594281605898</v>
      </c>
      <c r="D367">
        <v>15.5484706086194</v>
      </c>
      <c r="E367">
        <v>49.574098301178097</v>
      </c>
      <c r="F367">
        <v>24.565654960237602</v>
      </c>
      <c r="G367">
        <v>54.0164553618431</v>
      </c>
      <c r="H367">
        <v>31.845847828748099</v>
      </c>
      <c r="I367">
        <v>91.059521778872593</v>
      </c>
      <c r="J367">
        <v>68.200372547763806</v>
      </c>
      <c r="K367" t="s">
        <v>1</v>
      </c>
      <c r="L367">
        <v>6.84</v>
      </c>
      <c r="M367">
        <v>0</v>
      </c>
      <c r="N367">
        <f>LN(1+Table1[[#This Row],[Redness]])</f>
        <v>5.164276987250612</v>
      </c>
      <c r="O367">
        <f>LN(1+Table1[[#This Row],[Greeness]])</f>
        <v>4.611168105269746</v>
      </c>
      <c r="P367">
        <f>LN(1+Table1[[#This Row],[Blueness]])</f>
        <v>2.8062936871976487</v>
      </c>
      <c r="Q367">
        <f>LN(1+Table1[[#This Row],[L* lab]])</f>
        <v>3.923439553951285</v>
      </c>
      <c r="R367">
        <f>LN(1+Table1[[#This Row],[a* lab]]+128)</f>
        <v>5.0341281951919621</v>
      </c>
      <c r="S367">
        <f>LN(1+Table1[[#This Row],[b* lab]]+128)</f>
        <v>5.2095760688089303</v>
      </c>
      <c r="T367">
        <f>LN(1+Table1[[#This Row],[Hue]])</f>
        <v>3.4918253390345191</v>
      </c>
      <c r="U367">
        <f>LN(1+Table1[[#This Row],[Saturation]])</f>
        <v>4.5224353437076976</v>
      </c>
      <c r="V367">
        <f>LN(1+Table1[[#This Row],[Value]])</f>
        <v>4.2370062462473372</v>
      </c>
    </row>
    <row r="368" spans="1:23" x14ac:dyDescent="0.3">
      <c r="A368">
        <v>300</v>
      </c>
      <c r="B368">
        <v>170.962844441296</v>
      </c>
      <c r="C368">
        <v>96.571533851488795</v>
      </c>
      <c r="D368">
        <v>12.4267456435516</v>
      </c>
      <c r="E368">
        <v>48.452705125278499</v>
      </c>
      <c r="F368">
        <v>24.9013573037236</v>
      </c>
      <c r="G368">
        <v>53.787039708699901</v>
      </c>
      <c r="H368">
        <v>31.845663736920699</v>
      </c>
      <c r="I368">
        <v>92.731317916379993</v>
      </c>
      <c r="J368">
        <v>67.044252722077005</v>
      </c>
      <c r="K368" t="s">
        <v>1</v>
      </c>
      <c r="L368">
        <v>6.84</v>
      </c>
      <c r="M368">
        <v>0</v>
      </c>
      <c r="N368">
        <f>LN(1+Table1[[#This Row],[Redness]])</f>
        <v>5.1472784327874832</v>
      </c>
      <c r="O368">
        <f>LN(1+Table1[[#This Row],[Greeness]])</f>
        <v>4.5805857895199038</v>
      </c>
      <c r="P368">
        <f>LN(1+Table1[[#This Row],[Blueness]])</f>
        <v>2.5972486612566805</v>
      </c>
      <c r="Q368">
        <f>LN(1+Table1[[#This Row],[L* lab]])</f>
        <v>3.9010167608248438</v>
      </c>
      <c r="R368">
        <f>LN(1+Table1[[#This Row],[a* lab]]+128)</f>
        <v>5.0363118601933605</v>
      </c>
      <c r="S368">
        <f>LN(1+Table1[[#This Row],[b* lab]]+128)</f>
        <v>5.2083217577577079</v>
      </c>
      <c r="T368">
        <f>LN(1+Table1[[#This Row],[Hue]])</f>
        <v>3.4918197342973771</v>
      </c>
      <c r="U368">
        <f>LN(1+Table1[[#This Row],[Saturation]])</f>
        <v>4.5404323694338942</v>
      </c>
      <c r="V368">
        <f>LN(1+Table1[[#This Row],[Value]])</f>
        <v>4.2201582688383317</v>
      </c>
    </row>
    <row r="369" spans="1:23" x14ac:dyDescent="0.3">
      <c r="A369">
        <v>300</v>
      </c>
      <c r="B369">
        <v>174.26468888567999</v>
      </c>
      <c r="C369">
        <v>99.887066439669397</v>
      </c>
      <c r="D369">
        <v>16.1189079125528</v>
      </c>
      <c r="E369">
        <v>49.691614924428698</v>
      </c>
      <c r="F369">
        <v>24.572045509001999</v>
      </c>
      <c r="G369">
        <v>53.9770940858822</v>
      </c>
      <c r="H369">
        <v>31.781369573691201</v>
      </c>
      <c r="I369">
        <v>90.750330422288201</v>
      </c>
      <c r="J369">
        <v>68.339093680658905</v>
      </c>
      <c r="K369" t="s">
        <v>1</v>
      </c>
      <c r="L369">
        <v>6.84</v>
      </c>
      <c r="M369">
        <v>0</v>
      </c>
      <c r="N369">
        <f>LN(1+Table1[[#This Row],[Redness]])</f>
        <v>5.1662973391536555</v>
      </c>
      <c r="O369">
        <f>LN(1+Table1[[#This Row],[Greeness]])</f>
        <v>4.6140017371779374</v>
      </c>
      <c r="P369">
        <f>LN(1+Table1[[#This Row],[Blueness]])</f>
        <v>2.8401835785242913</v>
      </c>
      <c r="Q369">
        <f>LN(1+Table1[[#This Row],[L* lab]])</f>
        <v>3.9257605108134044</v>
      </c>
      <c r="R369">
        <f>LN(1+Table1[[#This Row],[a* lab]]+128)</f>
        <v>5.0341698087663005</v>
      </c>
      <c r="S369">
        <f>LN(1+Table1[[#This Row],[b* lab]]+128)</f>
        <v>5.209360976077531</v>
      </c>
      <c r="T369">
        <f>LN(1+Table1[[#This Row],[Hue]])</f>
        <v>3.4898603532144352</v>
      </c>
      <c r="U369">
        <f>LN(1+Table1[[#This Row],[Saturation]])</f>
        <v>4.5190710882610361</v>
      </c>
      <c r="V369">
        <f>LN(1+Table1[[#This Row],[Value]])</f>
        <v>4.2390088695146764</v>
      </c>
    </row>
    <row r="370" spans="1:23" x14ac:dyDescent="0.3">
      <c r="A370">
        <v>400</v>
      </c>
      <c r="B370">
        <v>166.01386110000001</v>
      </c>
      <c r="C370">
        <v>90.283440819999996</v>
      </c>
      <c r="D370">
        <v>2.7788131530000002</v>
      </c>
      <c r="E370">
        <v>46.280363389999998</v>
      </c>
      <c r="F370">
        <v>26.07014062</v>
      </c>
      <c r="G370">
        <v>54.232003890000001</v>
      </c>
      <c r="H370">
        <v>32.163911650000003</v>
      </c>
      <c r="I370">
        <v>98.326155940000007</v>
      </c>
      <c r="J370">
        <v>65.103474939999998</v>
      </c>
      <c r="K370" t="s">
        <v>1</v>
      </c>
      <c r="L370">
        <v>9.1199999999999992</v>
      </c>
      <c r="M370">
        <v>0</v>
      </c>
      <c r="N370">
        <f>LN(1+Table1[[#This Row],[Redness]])</f>
        <v>5.1180768095711988</v>
      </c>
      <c r="O370">
        <f>LN(1+Table1[[#This Row],[Greeness]])</f>
        <v>4.5139694000668609</v>
      </c>
      <c r="P370">
        <f>LN(1+Table1[[#This Row],[Blueness]])</f>
        <v>1.3294099796414094</v>
      </c>
      <c r="Q370">
        <f>LN(1+Table1[[#This Row],[L* lab]])</f>
        <v>3.856095058982012</v>
      </c>
      <c r="R370">
        <f>LN(1+Table1[[#This Row],[a* lab]]+128)</f>
        <v>5.0438775346919229</v>
      </c>
      <c r="S370">
        <f>LN(1+Table1[[#This Row],[b* lab]]+128)</f>
        <v>5.2107531307055659</v>
      </c>
      <c r="T370">
        <f>LN(1+Table1[[#This Row],[Hue]])</f>
        <v>3.5014622862171345</v>
      </c>
      <c r="U370">
        <f>LN(1+Table1[[#This Row],[Saturation]])</f>
        <v>4.598408939589147</v>
      </c>
      <c r="V370">
        <f>LN(1+Table1[[#This Row],[Value]])</f>
        <v>4.1912213164289378</v>
      </c>
      <c r="W370" t="s">
        <v>26</v>
      </c>
    </row>
    <row r="371" spans="1:23" x14ac:dyDescent="0.3">
      <c r="A371">
        <v>400</v>
      </c>
      <c r="B371">
        <v>172.88551110792699</v>
      </c>
      <c r="C371">
        <v>98.804955571758398</v>
      </c>
      <c r="D371">
        <v>16.2543937859697</v>
      </c>
      <c r="E371">
        <v>49.2513894603387</v>
      </c>
      <c r="F371">
        <v>24.5748420555446</v>
      </c>
      <c r="G371">
        <v>53.484993876155897</v>
      </c>
      <c r="H371">
        <v>31.622284204014601</v>
      </c>
      <c r="I371">
        <v>90.598174663796598</v>
      </c>
      <c r="J371">
        <v>67.798239650167702</v>
      </c>
      <c r="K371" t="s">
        <v>1</v>
      </c>
      <c r="L371">
        <v>9.1199999999999992</v>
      </c>
      <c r="M371">
        <v>0</v>
      </c>
      <c r="N371">
        <f>LN(1+Table1[[#This Row],[Redness]])</f>
        <v>5.1583971005109284</v>
      </c>
      <c r="O371">
        <f>LN(1+Table1[[#This Row],[Greeness]])</f>
        <v>4.6032178371122878</v>
      </c>
      <c r="P371">
        <f>LN(1+Table1[[#This Row],[Blueness]])</f>
        <v>2.8480668232738435</v>
      </c>
      <c r="Q371">
        <f>LN(1+Table1[[#This Row],[L* lab]])</f>
        <v>3.9170381975089184</v>
      </c>
      <c r="R371">
        <f>LN(1+Table1[[#This Row],[a* lab]]+128)</f>
        <v>5.034188018597856</v>
      </c>
      <c r="S371">
        <f>LN(1+Table1[[#This Row],[b* lab]]+128)</f>
        <v>5.2066679443057255</v>
      </c>
      <c r="T371">
        <f>LN(1+Table1[[#This Row],[Hue]])</f>
        <v>3.48499561938916</v>
      </c>
      <c r="U371">
        <f>LN(1+Table1[[#This Row],[Saturation]])</f>
        <v>4.5174113442304051</v>
      </c>
      <c r="V371">
        <f>LN(1+Table1[[#This Row],[Value]])</f>
        <v>4.2311781581318382</v>
      </c>
    </row>
    <row r="372" spans="1:23" x14ac:dyDescent="0.3">
      <c r="A372">
        <v>400</v>
      </c>
      <c r="B372">
        <v>163.33335</v>
      </c>
      <c r="C372">
        <v>87.23670817</v>
      </c>
      <c r="D372">
        <v>2.6559019990000001</v>
      </c>
      <c r="E372">
        <v>45.198564050000002</v>
      </c>
      <c r="F372">
        <v>26.582104739999998</v>
      </c>
      <c r="G372">
        <v>53.377599570000001</v>
      </c>
      <c r="H372">
        <v>31.58407377</v>
      </c>
      <c r="I372">
        <v>98.373937720000001</v>
      </c>
      <c r="J372">
        <v>64.052294119999999</v>
      </c>
      <c r="K372" t="s">
        <v>1</v>
      </c>
      <c r="L372">
        <v>9.1199999999999992</v>
      </c>
      <c r="M372">
        <v>0</v>
      </c>
      <c r="N372">
        <f>LN(1+Table1[[#This Row],[Redness]])</f>
        <v>5.1018969867944532</v>
      </c>
      <c r="O372">
        <f>LN(1+Table1[[#This Row],[Greeness]])</f>
        <v>4.4800230688323381</v>
      </c>
      <c r="P372">
        <f>LN(1+Table1[[#This Row],[Blueness]])</f>
        <v>1.296342847707465</v>
      </c>
      <c r="Q372">
        <f>LN(1+Table1[[#This Row],[L* lab]])</f>
        <v>3.8329487164358325</v>
      </c>
      <c r="R372">
        <f>LN(1+Table1[[#This Row],[a* lab]]+128)</f>
        <v>5.0471735970326668</v>
      </c>
      <c r="S372">
        <f>LN(1+Table1[[#This Row],[b* lab]]+128)</f>
        <v>5.2060792607235422</v>
      </c>
      <c r="T372">
        <f>LN(1+Table1[[#This Row],[Hue]])</f>
        <v>3.4838236343381475</v>
      </c>
      <c r="U372">
        <f>LN(1+Table1[[#This Row],[Saturation]])</f>
        <v>4.5988898833072991</v>
      </c>
      <c r="V372">
        <f>LN(1+Table1[[#This Row],[Value]])</f>
        <v>4.1751914713620124</v>
      </c>
      <c r="W372" t="s">
        <v>26</v>
      </c>
    </row>
    <row r="373" spans="1:23" x14ac:dyDescent="0.3">
      <c r="A373">
        <v>400</v>
      </c>
      <c r="B373">
        <v>171.267177774624</v>
      </c>
      <c r="C373">
        <v>95.910889555521507</v>
      </c>
      <c r="D373">
        <v>13.7015394930366</v>
      </c>
      <c r="E373">
        <v>48.350010641107197</v>
      </c>
      <c r="F373">
        <v>25.416123838881699</v>
      </c>
      <c r="G373">
        <v>53.426046175658698</v>
      </c>
      <c r="H373">
        <v>31.304801335771199</v>
      </c>
      <c r="I373">
        <v>91.999903501027504</v>
      </c>
      <c r="J373">
        <v>67.163599127303598</v>
      </c>
      <c r="K373" t="s">
        <v>1</v>
      </c>
      <c r="L373">
        <v>9.1199999999999992</v>
      </c>
      <c r="M373">
        <v>0</v>
      </c>
      <c r="N373">
        <f>LN(1+Table1[[#This Row],[Redness]])</f>
        <v>5.1490466307538378</v>
      </c>
      <c r="O373">
        <f>LN(1+Table1[[#This Row],[Greeness]])</f>
        <v>4.5737918918965859</v>
      </c>
      <c r="P373">
        <f>LN(1+Table1[[#This Row],[Blueness]])</f>
        <v>2.6879522157186133</v>
      </c>
      <c r="Q373">
        <f>LN(1+Table1[[#This Row],[L* lab]])</f>
        <v>3.8989379815047398</v>
      </c>
      <c r="R373">
        <f>LN(1+Table1[[#This Row],[a* lab]]+128)</f>
        <v>5.0396510611466478</v>
      </c>
      <c r="S373">
        <f>LN(1+Table1[[#This Row],[b* lab]]+128)</f>
        <v>5.2063448644613803</v>
      </c>
      <c r="T373">
        <f>LN(1+Table1[[#This Row],[Hue]])</f>
        <v>3.4752158673478579</v>
      </c>
      <c r="U373">
        <f>LN(1+Table1[[#This Row],[Saturation]])</f>
        <v>4.5325984555293575</v>
      </c>
      <c r="V373">
        <f>LN(1+Table1[[#This Row],[Value]])</f>
        <v>4.2219106852247368</v>
      </c>
    </row>
    <row r="374" spans="1:23" x14ac:dyDescent="0.3">
      <c r="A374">
        <v>400</v>
      </c>
      <c r="B374">
        <v>162.0316444</v>
      </c>
      <c r="C374">
        <v>85.517936340000006</v>
      </c>
      <c r="D374">
        <v>2.795262787</v>
      </c>
      <c r="E374">
        <v>44.619576680000002</v>
      </c>
      <c r="F374">
        <v>26.96537958</v>
      </c>
      <c r="G374">
        <v>52.878445589999998</v>
      </c>
      <c r="H374">
        <v>31.169763849999999</v>
      </c>
      <c r="I374">
        <v>98.274866119999999</v>
      </c>
      <c r="J374">
        <v>63.541821349999999</v>
      </c>
      <c r="K374" t="s">
        <v>1</v>
      </c>
      <c r="L374">
        <v>9.1199999999999992</v>
      </c>
      <c r="M374">
        <v>0</v>
      </c>
      <c r="N374">
        <f>LN(1+Table1[[#This Row],[Redness]])</f>
        <v>5.0939443193878446</v>
      </c>
      <c r="O374">
        <f>LN(1+Table1[[#This Row],[Greeness]])</f>
        <v>4.4603517489742313</v>
      </c>
      <c r="P374">
        <f>LN(1+Table1[[#This Row],[Blueness]])</f>
        <v>1.333753654036526</v>
      </c>
      <c r="Q374">
        <f>LN(1+Table1[[#This Row],[L* lab]])</f>
        <v>3.8203369375497083</v>
      </c>
      <c r="R374">
        <f>LN(1+Table1[[#This Row],[a* lab]]+128)</f>
        <v>5.0496340568511391</v>
      </c>
      <c r="S374">
        <f>LN(1+Table1[[#This Row],[b* lab]]+128)</f>
        <v>5.2033385825710488</v>
      </c>
      <c r="T374">
        <f>LN(1+Table1[[#This Row],[Hue]])</f>
        <v>3.4710270005339079</v>
      </c>
      <c r="U374">
        <f>LN(1+Table1[[#This Row],[Saturation]])</f>
        <v>4.5978924284392209</v>
      </c>
      <c r="V374">
        <f>LN(1+Table1[[#This Row],[Value]])</f>
        <v>4.167313406709046</v>
      </c>
      <c r="W374" t="s">
        <v>26</v>
      </c>
    </row>
    <row r="375" spans="1:23" x14ac:dyDescent="0.3">
      <c r="A375">
        <v>400</v>
      </c>
      <c r="B375">
        <v>172.110755552386</v>
      </c>
      <c r="C375">
        <v>95.359623012749793</v>
      </c>
      <c r="D375">
        <v>13.8688468804331</v>
      </c>
      <c r="E375">
        <v>48.343142440718204</v>
      </c>
      <c r="F375">
        <v>26.0898714697143</v>
      </c>
      <c r="G375">
        <v>53.427650091746003</v>
      </c>
      <c r="H375">
        <v>30.8985565769126</v>
      </c>
      <c r="I375">
        <v>91.941905759508501</v>
      </c>
      <c r="J375">
        <v>67.494413942112303</v>
      </c>
      <c r="K375" t="s">
        <v>1</v>
      </c>
      <c r="L375">
        <v>9.1199999999999992</v>
      </c>
      <c r="M375">
        <v>0</v>
      </c>
      <c r="N375">
        <f>LN(1+Table1[[#This Row],[Redness]])</f>
        <v>5.1539315951587792</v>
      </c>
      <c r="O375">
        <f>LN(1+Table1[[#This Row],[Greeness]])</f>
        <v>4.5680872654595426</v>
      </c>
      <c r="P375">
        <f>LN(1+Table1[[#This Row],[Blueness]])</f>
        <v>2.6992682107558883</v>
      </c>
      <c r="Q375">
        <f>LN(1+Table1[[#This Row],[L* lab]])</f>
        <v>3.8987987985890946</v>
      </c>
      <c r="R375">
        <f>LN(1+Table1[[#This Row],[a* lab]]+128)</f>
        <v>5.0440047648245763</v>
      </c>
      <c r="S375">
        <f>LN(1+Table1[[#This Row],[b* lab]]+128)</f>
        <v>5.2063536565668391</v>
      </c>
      <c r="T375">
        <f>LN(1+Table1[[#This Row],[Hue]])</f>
        <v>3.4625607603944148</v>
      </c>
      <c r="U375">
        <f>LN(1+Table1[[#This Row],[Saturation]])</f>
        <v>4.5319746287135327</v>
      </c>
      <c r="V375">
        <f>LN(1+Table1[[#This Row],[Value]])</f>
        <v>4.2267521936526053</v>
      </c>
    </row>
    <row r="376" spans="1:23" x14ac:dyDescent="0.3">
      <c r="A376">
        <v>400</v>
      </c>
      <c r="B376">
        <v>160.10149999999999</v>
      </c>
      <c r="C376">
        <v>83.226103519999995</v>
      </c>
      <c r="D376">
        <v>2.6927150690000001</v>
      </c>
      <c r="E376">
        <v>43.818433020000001</v>
      </c>
      <c r="F376">
        <v>27.387999000000001</v>
      </c>
      <c r="G376">
        <v>52.242673160000002</v>
      </c>
      <c r="H376">
        <v>30.697164130000001</v>
      </c>
      <c r="I376">
        <v>98.318120019999995</v>
      </c>
      <c r="J376">
        <v>62.784901959999999</v>
      </c>
      <c r="K376" t="s">
        <v>1</v>
      </c>
      <c r="L376">
        <v>9.1199999999999992</v>
      </c>
      <c r="M376">
        <v>0</v>
      </c>
      <c r="N376">
        <f>LN(1+Table1[[#This Row],[Redness]])</f>
        <v>5.082034601126546</v>
      </c>
      <c r="O376">
        <f>LN(1+Table1[[#This Row],[Greeness]])</f>
        <v>4.4335048912548709</v>
      </c>
      <c r="P376">
        <f>LN(1+Table1[[#This Row],[Blueness]])</f>
        <v>1.3063619785478164</v>
      </c>
      <c r="Q376">
        <f>LN(1+Table1[[#This Row],[L* lab]])</f>
        <v>3.8026195061373342</v>
      </c>
      <c r="R376">
        <f>LN(1+Table1[[#This Row],[a* lab]]+128)</f>
        <v>5.0523400924305308</v>
      </c>
      <c r="S376">
        <f>LN(1+Table1[[#This Row],[b* lab]]+128)</f>
        <v>5.1998368689728869</v>
      </c>
      <c r="T376">
        <f>LN(1+Table1[[#This Row],[Hue]])</f>
        <v>3.4562272172600332</v>
      </c>
      <c r="U376">
        <f>LN(1+Table1[[#This Row],[Saturation]])</f>
        <v>4.5983280319469246</v>
      </c>
      <c r="V376">
        <f>LN(1+Table1[[#This Row],[Value]])</f>
        <v>4.1555165159505831</v>
      </c>
      <c r="W376" t="s">
        <v>26</v>
      </c>
    </row>
    <row r="377" spans="1:23" x14ac:dyDescent="0.3">
      <c r="A377">
        <v>400</v>
      </c>
      <c r="B377">
        <v>169.724533330208</v>
      </c>
      <c r="C377">
        <v>92.731623603382204</v>
      </c>
      <c r="D377">
        <v>13.4549005379678</v>
      </c>
      <c r="E377">
        <v>47.403127808093402</v>
      </c>
      <c r="F377">
        <v>26.498069499571798</v>
      </c>
      <c r="G377">
        <v>52.665431411490303</v>
      </c>
      <c r="H377">
        <v>30.438437071447701</v>
      </c>
      <c r="I377">
        <v>92.072506977061096</v>
      </c>
      <c r="J377">
        <v>66.558640521650304</v>
      </c>
      <c r="K377" t="s">
        <v>1</v>
      </c>
      <c r="L377">
        <v>9.1199999999999992</v>
      </c>
      <c r="M377">
        <v>0</v>
      </c>
      <c r="N377">
        <f>LN(1+Table1[[#This Row],[Redness]])</f>
        <v>5.1400513413843925</v>
      </c>
      <c r="O377">
        <f>LN(1+Table1[[#This Row],[Greeness]])</f>
        <v>4.5404356307398333</v>
      </c>
      <c r="P377">
        <f>LN(1+Table1[[#This Row],[Blueness]])</f>
        <v>2.6710334946399183</v>
      </c>
      <c r="Q377">
        <f>LN(1+Table1[[#This Row],[L* lab]])</f>
        <v>3.8795644357686978</v>
      </c>
      <c r="R377">
        <f>LN(1+Table1[[#This Row],[a* lab]]+128)</f>
        <v>5.0466333167484745</v>
      </c>
      <c r="S377">
        <f>LN(1+Table1[[#This Row],[b* lab]]+128)</f>
        <v>5.202166706402239</v>
      </c>
      <c r="T377">
        <f>LN(1+Table1[[#This Row],[Hue]])</f>
        <v>3.4480312548574013</v>
      </c>
      <c r="U377">
        <f>LN(1+Table1[[#This Row],[Saturation]])</f>
        <v>4.5333788343026704</v>
      </c>
      <c r="V377">
        <f>LN(1+Table1[[#This Row],[Value]])</f>
        <v>4.2129959692038392</v>
      </c>
    </row>
    <row r="378" spans="1:23" x14ac:dyDescent="0.3">
      <c r="A378">
        <v>400</v>
      </c>
      <c r="B378">
        <v>168.52646666356301</v>
      </c>
      <c r="C378">
        <v>91.159690623334498</v>
      </c>
      <c r="D378">
        <v>14.2065060319126</v>
      </c>
      <c r="E378">
        <v>46.877985849762503</v>
      </c>
      <c r="F378">
        <v>26.855444544295501</v>
      </c>
      <c r="G378">
        <v>52.012639889105998</v>
      </c>
      <c r="H378">
        <v>29.919597287263201</v>
      </c>
      <c r="I378">
        <v>91.570163243098307</v>
      </c>
      <c r="J378">
        <v>66.088810456299399</v>
      </c>
      <c r="K378" t="s">
        <v>1</v>
      </c>
      <c r="L378">
        <v>9.1199999999999992</v>
      </c>
      <c r="M378">
        <v>0</v>
      </c>
      <c r="N378">
        <f>LN(1+Table1[[#This Row],[Redness]])</f>
        <v>5.1330090601388108</v>
      </c>
      <c r="O378">
        <f>LN(1+Table1[[#This Row],[Greeness]])</f>
        <v>4.5235228399902807</v>
      </c>
      <c r="P378">
        <f>LN(1+Table1[[#This Row],[Blueness]])</f>
        <v>2.721723364689502</v>
      </c>
      <c r="Q378">
        <f>LN(1+Table1[[#This Row],[L* lab]])</f>
        <v>3.8686558131750912</v>
      </c>
      <c r="R378">
        <f>LN(1+Table1[[#This Row],[a* lab]]+128)</f>
        <v>5.0489289401190023</v>
      </c>
      <c r="S378">
        <f>LN(1+Table1[[#This Row],[b* lab]]+128)</f>
        <v>5.1985668624690398</v>
      </c>
      <c r="T378">
        <f>LN(1+Table1[[#This Row],[Hue]])</f>
        <v>3.4313901992897464</v>
      </c>
      <c r="U378">
        <f>LN(1+Table1[[#This Row],[Saturation]])</f>
        <v>4.5279668785333103</v>
      </c>
      <c r="V378">
        <f>LN(1+Table1[[#This Row],[Value]])</f>
        <v>4.2060172708511958</v>
      </c>
    </row>
    <row r="379" spans="1:23" x14ac:dyDescent="0.3">
      <c r="A379">
        <v>400</v>
      </c>
      <c r="B379">
        <v>165.11388888584801</v>
      </c>
      <c r="C379">
        <v>86.868713809936594</v>
      </c>
      <c r="D379">
        <v>9.0939531539336205</v>
      </c>
      <c r="E379">
        <v>45.398852206950203</v>
      </c>
      <c r="F379">
        <v>27.650404426274701</v>
      </c>
      <c r="G379">
        <v>52.036046725664299</v>
      </c>
      <c r="H379">
        <v>29.909547247721399</v>
      </c>
      <c r="I379">
        <v>94.492314840806202</v>
      </c>
      <c r="J379">
        <v>64.750544661117104</v>
      </c>
      <c r="K379" t="s">
        <v>1</v>
      </c>
      <c r="L379">
        <v>9.1199999999999992</v>
      </c>
      <c r="M379">
        <v>0</v>
      </c>
      <c r="N379">
        <f>LN(1+Table1[[#This Row],[Redness]])</f>
        <v>5.1126736307384704</v>
      </c>
      <c r="O379">
        <f>LN(1+Table1[[#This Row],[Greeness]])</f>
        <v>4.4758438119809876</v>
      </c>
      <c r="P379">
        <f>LN(1+Table1[[#This Row],[Blueness]])</f>
        <v>2.3119365469258888</v>
      </c>
      <c r="Q379">
        <f>LN(1+Table1[[#This Row],[L* lab]])</f>
        <v>3.8372747220070704</v>
      </c>
      <c r="R379">
        <f>LN(1+Table1[[#This Row],[a* lab]]+128)</f>
        <v>5.0540165991138259</v>
      </c>
      <c r="S379">
        <f>LN(1+Table1[[#This Row],[b* lab]]+128)</f>
        <v>5.198696164617929</v>
      </c>
      <c r="T379">
        <f>LN(1+Table1[[#This Row],[Hue]])</f>
        <v>3.4310651085997201</v>
      </c>
      <c r="U379">
        <f>LN(1+Table1[[#This Row],[Saturation]])</f>
        <v>4.5590457713774297</v>
      </c>
      <c r="V379">
        <f>LN(1+Table1[[#This Row],[Value]])</f>
        <v>4.185867954842835</v>
      </c>
    </row>
    <row r="380" spans="1:23" x14ac:dyDescent="0.3">
      <c r="A380">
        <v>400</v>
      </c>
      <c r="B380">
        <v>169.048666663554</v>
      </c>
      <c r="C380">
        <v>91.567934976027601</v>
      </c>
      <c r="D380">
        <v>14.607274889887799</v>
      </c>
      <c r="E380">
        <v>47.047165214818797</v>
      </c>
      <c r="F380">
        <v>26.863179888957202</v>
      </c>
      <c r="G380">
        <v>52.068123103876403</v>
      </c>
      <c r="H380">
        <v>29.8989769008009</v>
      </c>
      <c r="I380">
        <v>91.359130374592198</v>
      </c>
      <c r="J380">
        <v>66.293594770021102</v>
      </c>
      <c r="K380" t="s">
        <v>1</v>
      </c>
      <c r="L380">
        <v>9.1199999999999992</v>
      </c>
      <c r="M380">
        <v>0</v>
      </c>
      <c r="N380">
        <f>LN(1+Table1[[#This Row],[Redness]])</f>
        <v>5.1360846705730321</v>
      </c>
      <c r="O380">
        <f>LN(1+Table1[[#This Row],[Greeness]])</f>
        <v>4.5279428071283183</v>
      </c>
      <c r="P380">
        <f>LN(1+Table1[[#This Row],[Blueness]])</f>
        <v>2.7477371446485805</v>
      </c>
      <c r="Q380">
        <f>LN(1+Table1[[#This Row],[L* lab]])</f>
        <v>3.8721831371060871</v>
      </c>
      <c r="R380">
        <f>LN(1+Table1[[#This Row],[a* lab]]+128)</f>
        <v>5.0489785704205428</v>
      </c>
      <c r="S380">
        <f>LN(1+Table1[[#This Row],[b* lab]]+128)</f>
        <v>5.1988733311957738</v>
      </c>
      <c r="T380">
        <f>LN(1+Table1[[#This Row],[Hue]])</f>
        <v>3.4307230733491081</v>
      </c>
      <c r="U380">
        <f>LN(1+Table1[[#This Row],[Saturation]])</f>
        <v>4.52568456883556</v>
      </c>
      <c r="V380">
        <f>LN(1+Table1[[#This Row],[Value]])</f>
        <v>4.2090650578274298</v>
      </c>
    </row>
    <row r="381" spans="1:23" x14ac:dyDescent="0.3">
      <c r="A381">
        <v>400</v>
      </c>
      <c r="B381">
        <v>175.57561666343301</v>
      </c>
      <c r="C381">
        <v>96.722972706342404</v>
      </c>
      <c r="D381">
        <v>21.8697076963565</v>
      </c>
      <c r="E381">
        <v>49.177663639937201</v>
      </c>
      <c r="F381">
        <v>27.000153785628601</v>
      </c>
      <c r="G381">
        <v>51.9120768500214</v>
      </c>
      <c r="H381">
        <v>29.2194095255058</v>
      </c>
      <c r="I381">
        <v>87.543994939639404</v>
      </c>
      <c r="J381">
        <v>68.853183005268093</v>
      </c>
      <c r="K381" t="s">
        <v>1</v>
      </c>
      <c r="L381">
        <v>9.1199999999999992</v>
      </c>
      <c r="M381">
        <v>0</v>
      </c>
      <c r="N381">
        <f>LN(1+Table1[[#This Row],[Redness]])</f>
        <v>5.1737492076486955</v>
      </c>
      <c r="O381">
        <f>LN(1+Table1[[#This Row],[Greeness]])</f>
        <v>4.5821366665811842</v>
      </c>
      <c r="P381">
        <f>LN(1+Table1[[#This Row],[Blueness]])</f>
        <v>3.1298132268579737</v>
      </c>
      <c r="Q381">
        <f>LN(1+Table1[[#This Row],[L* lab]])</f>
        <v>3.9155699802676014</v>
      </c>
      <c r="R381">
        <f>LN(1+Table1[[#This Row],[a* lab]]+128)</f>
        <v>5.0498569930543624</v>
      </c>
      <c r="S381">
        <f>LN(1+Table1[[#This Row],[b* lab]]+128)</f>
        <v>5.1980111499850814</v>
      </c>
      <c r="T381">
        <f>LN(1+Table1[[#This Row],[Hue]])</f>
        <v>3.4084844174579962</v>
      </c>
      <c r="U381">
        <f>LN(1+Table1[[#This Row],[Saturation]])</f>
        <v>4.4834995464537117</v>
      </c>
      <c r="V381">
        <f>LN(1+Table1[[#This Row],[Value]])</f>
        <v>4.2463956538167418</v>
      </c>
    </row>
    <row r="382" spans="1:23" x14ac:dyDescent="0.3">
      <c r="A382">
        <v>400</v>
      </c>
      <c r="B382">
        <v>167.91537777468599</v>
      </c>
      <c r="C382">
        <v>88.834646701434394</v>
      </c>
      <c r="D382">
        <v>13.9957773887089</v>
      </c>
      <c r="E382">
        <v>46.266852665032403</v>
      </c>
      <c r="F382">
        <v>27.860132233502799</v>
      </c>
      <c r="G382">
        <v>51.584804577956099</v>
      </c>
      <c r="H382">
        <v>29.1732316579781</v>
      </c>
      <c r="I382">
        <v>91.664981746050103</v>
      </c>
      <c r="J382">
        <v>65.849167754778804</v>
      </c>
      <c r="K382" t="s">
        <v>1</v>
      </c>
      <c r="L382">
        <v>9.1199999999999992</v>
      </c>
      <c r="M382">
        <v>0</v>
      </c>
      <c r="N382">
        <f>LN(1+Table1[[#This Row],[Redness]])</f>
        <v>5.1293978662926252</v>
      </c>
      <c r="O382">
        <f>LN(1+Table1[[#This Row],[Greeness]])</f>
        <v>4.4979707216271434</v>
      </c>
      <c r="P382">
        <f>LN(1+Table1[[#This Row],[Blueness]])</f>
        <v>2.7077686540521522</v>
      </c>
      <c r="Q382">
        <f>LN(1+Table1[[#This Row],[L* lab]])</f>
        <v>3.855809260507487</v>
      </c>
      <c r="R382">
        <f>LN(1+Table1[[#This Row],[a* lab]]+128)</f>
        <v>5.0553545307874979</v>
      </c>
      <c r="S382">
        <f>LN(1+Table1[[#This Row],[b* lab]]+128)</f>
        <v>5.1962004988935151</v>
      </c>
      <c r="T382">
        <f>LN(1+Table1[[#This Row],[Hue]])</f>
        <v>3.4069551623824719</v>
      </c>
      <c r="U382">
        <f>LN(1+Table1[[#This Row],[Saturation]])</f>
        <v>4.5289906422606405</v>
      </c>
      <c r="V382">
        <f>LN(1+Table1[[#This Row],[Value]])</f>
        <v>4.2024388540281059</v>
      </c>
    </row>
    <row r="383" spans="1:23" x14ac:dyDescent="0.3">
      <c r="A383">
        <v>400</v>
      </c>
      <c r="B383">
        <v>168.80411110800301</v>
      </c>
      <c r="C383">
        <v>90.821868477036404</v>
      </c>
      <c r="D383">
        <v>17.057242583850801</v>
      </c>
      <c r="E383">
        <v>46.853370416517798</v>
      </c>
      <c r="F383">
        <v>27.215023938489701</v>
      </c>
      <c r="G383">
        <v>51.191703520779598</v>
      </c>
      <c r="H383">
        <v>29.166187062942299</v>
      </c>
      <c r="I383">
        <v>89.895244569643495</v>
      </c>
      <c r="J383">
        <v>66.197690630589406</v>
      </c>
      <c r="K383" t="s">
        <v>1</v>
      </c>
      <c r="L383">
        <v>9.1199999999999992</v>
      </c>
      <c r="M383">
        <v>0</v>
      </c>
      <c r="N383">
        <f>LN(1+Table1[[#This Row],[Redness]])</f>
        <v>5.1346454850564918</v>
      </c>
      <c r="O383">
        <f>LN(1+Table1[[#This Row],[Greeness]])</f>
        <v>4.5198504879609747</v>
      </c>
      <c r="P383">
        <f>LN(1+Table1[[#This Row],[Blueness]])</f>
        <v>2.8935468554820316</v>
      </c>
      <c r="Q383">
        <f>LN(1+Table1[[#This Row],[L* lab]])</f>
        <v>3.8681415525451941</v>
      </c>
      <c r="R383">
        <f>LN(1+Table1[[#This Row],[a* lab]]+128)</f>
        <v>5.0512334167654123</v>
      </c>
      <c r="S383">
        <f>LN(1+Table1[[#This Row],[b* lab]]+128)</f>
        <v>5.1940213037191159</v>
      </c>
      <c r="T383">
        <f>LN(1+Table1[[#This Row],[Hue]])</f>
        <v>3.4067216634453876</v>
      </c>
      <c r="U383">
        <f>LN(1+Table1[[#This Row],[Saturation]])</f>
        <v>4.5097076848495394</v>
      </c>
      <c r="V383">
        <f>LN(1+Table1[[#This Row],[Value]])</f>
        <v>4.2076388813223637</v>
      </c>
    </row>
    <row r="384" spans="1:23" x14ac:dyDescent="0.3">
      <c r="A384">
        <v>400</v>
      </c>
      <c r="B384">
        <v>169.00942221911001</v>
      </c>
      <c r="C384">
        <v>89.120335526115895</v>
      </c>
      <c r="D384">
        <v>14.7056282564195</v>
      </c>
      <c r="E384">
        <v>46.495087221929403</v>
      </c>
      <c r="F384">
        <v>28.184985403238102</v>
      </c>
      <c r="G384">
        <v>51.6213197252969</v>
      </c>
      <c r="H384">
        <v>28.935662056769299</v>
      </c>
      <c r="I384">
        <v>91.298929927495607</v>
      </c>
      <c r="J384">
        <v>66.278204791807894</v>
      </c>
      <c r="K384" t="s">
        <v>1</v>
      </c>
      <c r="L384">
        <v>9.1199999999999992</v>
      </c>
      <c r="M384">
        <v>0</v>
      </c>
      <c r="N384">
        <f>LN(1+Table1[[#This Row],[Redness]])</f>
        <v>5.1358538603326576</v>
      </c>
      <c r="O384">
        <f>LN(1+Table1[[#This Row],[Greeness]])</f>
        <v>4.5011458386609293</v>
      </c>
      <c r="P384">
        <f>LN(1+Table1[[#This Row],[Blueness]])</f>
        <v>2.7540191357829422</v>
      </c>
      <c r="Q384">
        <f>LN(1+Table1[[#This Row],[L* lab]])</f>
        <v>3.8606262787849146</v>
      </c>
      <c r="R384">
        <f>LN(1+Table1[[#This Row],[a* lab]]+128)</f>
        <v>5.0574233627314298</v>
      </c>
      <c r="S384">
        <f>LN(1+Table1[[#This Row],[b* lab]]+128)</f>
        <v>5.1964026834358492</v>
      </c>
      <c r="T384">
        <f>LN(1+Table1[[#This Row],[Hue]])</f>
        <v>3.3990504806107622</v>
      </c>
      <c r="U384">
        <f>LN(1+Table1[[#This Row],[Saturation]])</f>
        <v>4.5250325480233533</v>
      </c>
      <c r="V384">
        <f>LN(1+Table1[[#This Row],[Value]])</f>
        <v>4.2088363326661344</v>
      </c>
    </row>
    <row r="385" spans="1:23" x14ac:dyDescent="0.3">
      <c r="A385">
        <v>400</v>
      </c>
      <c r="B385">
        <v>173.35037777458501</v>
      </c>
      <c r="C385">
        <v>93.807601139338303</v>
      </c>
      <c r="D385">
        <v>20.2226387991618</v>
      </c>
      <c r="E385">
        <v>48.196092116960401</v>
      </c>
      <c r="F385">
        <v>27.600882678193202</v>
      </c>
      <c r="G385">
        <v>51.528457465498299</v>
      </c>
      <c r="H385">
        <v>28.8327756287133</v>
      </c>
      <c r="I385">
        <v>88.334240133322197</v>
      </c>
      <c r="J385">
        <v>67.980540303759099</v>
      </c>
      <c r="K385" t="s">
        <v>1</v>
      </c>
      <c r="L385">
        <v>9.1199999999999992</v>
      </c>
      <c r="M385">
        <v>0</v>
      </c>
      <c r="N385">
        <f>LN(1+Table1[[#This Row],[Redness]])</f>
        <v>5.1610669398791922</v>
      </c>
      <c r="O385">
        <f>LN(1+Table1[[#This Row],[Greeness]])</f>
        <v>4.5518495868413762</v>
      </c>
      <c r="P385">
        <f>LN(1+Table1[[#This Row],[Blueness]])</f>
        <v>3.055068479797634</v>
      </c>
      <c r="Q385">
        <f>LN(1+Table1[[#This Row],[L* lab]])</f>
        <v>3.8958141918265858</v>
      </c>
      <c r="R385">
        <f>LN(1+Table1[[#This Row],[a* lab]]+128)</f>
        <v>5.0537004200554616</v>
      </c>
      <c r="S385">
        <f>LN(1+Table1[[#This Row],[b* lab]]+128)</f>
        <v>5.1958884244346812</v>
      </c>
      <c r="T385">
        <f>LN(1+Table1[[#This Row],[Hue]])</f>
        <v>3.3956076424283546</v>
      </c>
      <c r="U385">
        <f>LN(1+Table1[[#This Row],[Saturation]])</f>
        <v>4.4923848425373727</v>
      </c>
      <c r="V385">
        <f>LN(1+Table1[[#This Row],[Value]])</f>
        <v>4.2338244402376466</v>
      </c>
    </row>
    <row r="386" spans="1:23" x14ac:dyDescent="0.3">
      <c r="A386">
        <v>500</v>
      </c>
      <c r="B386">
        <v>168.11968060000001</v>
      </c>
      <c r="C386">
        <v>89.361882690000002</v>
      </c>
      <c r="D386">
        <v>14.739619169999999</v>
      </c>
      <c r="E386">
        <v>46.416625160000002</v>
      </c>
      <c r="F386">
        <v>27.67563445</v>
      </c>
      <c r="G386">
        <v>51.482493640000001</v>
      </c>
      <c r="H386">
        <v>29.191120219999998</v>
      </c>
      <c r="I386">
        <v>91.232662880000007</v>
      </c>
      <c r="J386">
        <v>65.929286489999996</v>
      </c>
      <c r="K386" t="s">
        <v>1</v>
      </c>
      <c r="L386">
        <v>11.4</v>
      </c>
      <c r="M386">
        <v>1</v>
      </c>
      <c r="N386">
        <f>LN(1+Table1[[#This Row],[Redness]])</f>
        <v>5.1306066335203333</v>
      </c>
      <c r="O386">
        <f>LN(1+Table1[[#This Row],[Greeness]])</f>
        <v>4.5038225268187819</v>
      </c>
      <c r="P386">
        <f>LN(1+Table1[[#This Row],[Blueness]])</f>
        <v>2.7561810476520798</v>
      </c>
      <c r="Q386">
        <f>LN(1+Table1[[#This Row],[L* lab]])</f>
        <v>3.8589729089776665</v>
      </c>
      <c r="R386">
        <f>LN(1+Table1[[#This Row],[a* lab]]+128)</f>
        <v>5.0541776455679939</v>
      </c>
      <c r="S386">
        <f>LN(1+Table1[[#This Row],[b* lab]]+128)</f>
        <v>5.1956337849252368</v>
      </c>
      <c r="T386">
        <f>LN(1+Table1[[#This Row],[Hue]])</f>
        <v>3.4075478486944766</v>
      </c>
      <c r="U386">
        <f>LN(1+Table1[[#This Row],[Saturation]])</f>
        <v>4.5243143289982424</v>
      </c>
      <c r="V386">
        <f>LN(1+Table1[[#This Row],[Value]])</f>
        <v>4.2036366365148634</v>
      </c>
      <c r="W386" t="s">
        <v>26</v>
      </c>
    </row>
    <row r="387" spans="1:23" x14ac:dyDescent="0.3">
      <c r="A387">
        <v>500</v>
      </c>
      <c r="B387">
        <v>169.54456390000001</v>
      </c>
      <c r="C387">
        <v>90.242010269999994</v>
      </c>
      <c r="D387">
        <v>16.20842536</v>
      </c>
      <c r="E387">
        <v>46.827744099999997</v>
      </c>
      <c r="F387">
        <v>27.83369429</v>
      </c>
      <c r="G387">
        <v>51.46514672</v>
      </c>
      <c r="H387">
        <v>28.969133679999999</v>
      </c>
      <c r="I387">
        <v>90.440020610000005</v>
      </c>
      <c r="J387">
        <v>66.488064269999995</v>
      </c>
      <c r="K387" t="s">
        <v>1</v>
      </c>
      <c r="L387">
        <v>11.4</v>
      </c>
      <c r="M387">
        <v>1</v>
      </c>
      <c r="N387">
        <f>LN(1+Table1[[#This Row],[Redness]])</f>
        <v>5.1389966344194082</v>
      </c>
      <c r="O387">
        <f>LN(1+Table1[[#This Row],[Greeness]])</f>
        <v>4.5135154299441842</v>
      </c>
      <c r="P387">
        <f>LN(1+Table1[[#This Row],[Blueness]])</f>
        <v>2.8453991103953977</v>
      </c>
      <c r="Q387">
        <f>LN(1+Table1[[#This Row],[L* lab]])</f>
        <v>3.867605891620673</v>
      </c>
      <c r="R387">
        <f>LN(1+Table1[[#This Row],[a* lab]]+128)</f>
        <v>5.0551859718849634</v>
      </c>
      <c r="S387">
        <f>LN(1+Table1[[#This Row],[b* lab]]+128)</f>
        <v>5.1955376661641006</v>
      </c>
      <c r="T387">
        <f>LN(1+Table1[[#This Row],[Hue]])</f>
        <v>3.4001679746712057</v>
      </c>
      <c r="U387">
        <f>LN(1+Table1[[#This Row],[Saturation]])</f>
        <v>4.5156832448802309</v>
      </c>
      <c r="V387">
        <f>LN(1+Table1[[#This Row],[Value]])</f>
        <v>4.2119507566133594</v>
      </c>
      <c r="W387" t="s">
        <v>26</v>
      </c>
    </row>
    <row r="388" spans="1:23" x14ac:dyDescent="0.3">
      <c r="A388">
        <v>500</v>
      </c>
      <c r="B388">
        <v>167.63593333024599</v>
      </c>
      <c r="C388">
        <v>87.778669160983299</v>
      </c>
      <c r="D388">
        <v>14.640763033440299</v>
      </c>
      <c r="E388">
        <v>45.993504170879703</v>
      </c>
      <c r="F388">
        <v>28.327778100480899</v>
      </c>
      <c r="G388">
        <v>51.181742165791398</v>
      </c>
      <c r="H388">
        <v>28.6824372242565</v>
      </c>
      <c r="I388">
        <v>91.266333689568995</v>
      </c>
      <c r="J388">
        <v>65.739581698135893</v>
      </c>
      <c r="K388" t="s">
        <v>1</v>
      </c>
      <c r="L388">
        <v>11.4</v>
      </c>
      <c r="M388">
        <v>1</v>
      </c>
      <c r="N388">
        <f>LN(1+Table1[[#This Row],[Redness]])</f>
        <v>5.1277421505594276</v>
      </c>
      <c r="O388">
        <f>LN(1+Table1[[#This Row],[Greeness]])</f>
        <v>4.486146408991476</v>
      </c>
      <c r="P388">
        <f>LN(1+Table1[[#This Row],[Blueness]])</f>
        <v>2.7498805212314701</v>
      </c>
      <c r="Q388">
        <f>LN(1+Table1[[#This Row],[L* lab]])</f>
        <v>3.8500093830280777</v>
      </c>
      <c r="R388">
        <f>LN(1+Table1[[#This Row],[a* lab]]+128)</f>
        <v>5.0583313876106955</v>
      </c>
      <c r="S388">
        <f>LN(1+Table1[[#This Row],[b* lab]]+128)</f>
        <v>5.1939660202063607</v>
      </c>
      <c r="T388">
        <f>LN(1+Table1[[#This Row],[Hue]])</f>
        <v>3.3905555316480189</v>
      </c>
      <c r="U388">
        <f>LN(1+Table1[[#This Row],[Saturation]])</f>
        <v>4.5246793262130653</v>
      </c>
      <c r="V388">
        <f>LN(1+Table1[[#This Row],[Value]])</f>
        <v>4.2007982056700213</v>
      </c>
    </row>
    <row r="389" spans="1:23" x14ac:dyDescent="0.3">
      <c r="A389">
        <v>500</v>
      </c>
      <c r="B389">
        <v>163.82368890000001</v>
      </c>
      <c r="C389">
        <v>84.668025420000006</v>
      </c>
      <c r="D389">
        <v>12.34936959</v>
      </c>
      <c r="E389">
        <v>44.728229339999999</v>
      </c>
      <c r="F389">
        <v>28.352801150000001</v>
      </c>
      <c r="G389">
        <v>50.61765346</v>
      </c>
      <c r="H389">
        <v>28.645907569999999</v>
      </c>
      <c r="I389">
        <v>92.461792509999995</v>
      </c>
      <c r="J389">
        <v>64.244583879999993</v>
      </c>
      <c r="K389" t="s">
        <v>1</v>
      </c>
      <c r="L389">
        <v>11.4</v>
      </c>
      <c r="M389">
        <v>1</v>
      </c>
      <c r="N389">
        <f>LN(1+Table1[[#This Row],[Redness]])</f>
        <v>5.1048763504705326</v>
      </c>
      <c r="O389">
        <f>LN(1+Table1[[#This Row],[Greeness]])</f>
        <v>4.4504796570351788</v>
      </c>
      <c r="P389">
        <f>LN(1+Table1[[#This Row],[Blueness]])</f>
        <v>2.5914691620084316</v>
      </c>
      <c r="Q389">
        <f>LN(1+Table1[[#This Row],[L* lab]])</f>
        <v>3.8227158170427877</v>
      </c>
      <c r="R389">
        <f>LN(1+Table1[[#This Row],[a* lab]]+128)</f>
        <v>5.0584904253856449</v>
      </c>
      <c r="S389">
        <f>LN(1+Table1[[#This Row],[b* lab]]+128)</f>
        <v>5.1908304442447655</v>
      </c>
      <c r="T389">
        <f>LN(1+Table1[[#This Row],[Hue]])</f>
        <v>3.3893240912968867</v>
      </c>
      <c r="U389">
        <f>LN(1+Table1[[#This Row],[Saturation]])</f>
        <v>4.5375527165234093</v>
      </c>
      <c r="V389">
        <f>LN(1+Table1[[#This Row],[Value]])</f>
        <v>4.1781430370871435</v>
      </c>
      <c r="W389" t="s">
        <v>26</v>
      </c>
    </row>
    <row r="390" spans="1:23" x14ac:dyDescent="0.3">
      <c r="A390">
        <v>500</v>
      </c>
      <c r="B390">
        <v>164.07697777475599</v>
      </c>
      <c r="C390">
        <v>84.2547366196398</v>
      </c>
      <c r="D390">
        <v>11.5395653892793</v>
      </c>
      <c r="E390">
        <v>44.6722575410422</v>
      </c>
      <c r="F390">
        <v>28.672001583910401</v>
      </c>
      <c r="G390">
        <v>50.8175337213126</v>
      </c>
      <c r="H390">
        <v>28.6022307943451</v>
      </c>
      <c r="I390">
        <v>92.9669807758644</v>
      </c>
      <c r="J390">
        <v>64.343912852845705</v>
      </c>
      <c r="K390" t="s">
        <v>1</v>
      </c>
      <c r="L390">
        <v>11.4</v>
      </c>
      <c r="M390">
        <v>1</v>
      </c>
      <c r="N390">
        <f>LN(1+Table1[[#This Row],[Redness]])</f>
        <v>5.1064118970765957</v>
      </c>
      <c r="O390">
        <f>LN(1+Table1[[#This Row],[Greeness]])</f>
        <v>4.4456436761408433</v>
      </c>
      <c r="P390">
        <f>LN(1+Table1[[#This Row],[Blueness]])</f>
        <v>2.528888876651965</v>
      </c>
      <c r="Q390">
        <f>LN(1+Table1[[#This Row],[L* lab]])</f>
        <v>3.8214910575723642</v>
      </c>
      <c r="R390">
        <f>LN(1+Table1[[#This Row],[a* lab]]+128)</f>
        <v>5.0605169359357971</v>
      </c>
      <c r="S390">
        <f>LN(1+Table1[[#This Row],[b* lab]]+128)</f>
        <v>5.1919426351990445</v>
      </c>
      <c r="T390">
        <f>LN(1+Table1[[#This Row],[Hue]])</f>
        <v>3.3878497231640612</v>
      </c>
      <c r="U390">
        <f>LN(1+Table1[[#This Row],[Saturation]])</f>
        <v>4.5429434522189602</v>
      </c>
      <c r="V390">
        <f>LN(1+Table1[[#This Row],[Value]])</f>
        <v>4.1796642888740383</v>
      </c>
    </row>
    <row r="391" spans="1:23" x14ac:dyDescent="0.3">
      <c r="A391">
        <v>500</v>
      </c>
      <c r="B391">
        <v>166.76035555248501</v>
      </c>
      <c r="C391">
        <v>86.800158269788696</v>
      </c>
      <c r="D391">
        <v>14.054442749676699</v>
      </c>
      <c r="E391">
        <v>45.644478378157999</v>
      </c>
      <c r="F391">
        <v>28.475948797172698</v>
      </c>
      <c r="G391">
        <v>51.0291603439032</v>
      </c>
      <c r="H391">
        <v>28.5826714309548</v>
      </c>
      <c r="I391">
        <v>91.572071969315601</v>
      </c>
      <c r="J391">
        <v>65.396217863719599</v>
      </c>
      <c r="K391" t="s">
        <v>1</v>
      </c>
      <c r="L391">
        <v>11.4</v>
      </c>
      <c r="M391">
        <v>1</v>
      </c>
      <c r="N391">
        <f>LN(1+Table1[[#This Row],[Redness]])</f>
        <v>5.122536506002989</v>
      </c>
      <c r="O391">
        <f>LN(1+Table1[[#This Row],[Greeness]])</f>
        <v>4.4750633032566292</v>
      </c>
      <c r="P391">
        <f>LN(1+Table1[[#This Row],[Blueness]])</f>
        <v>2.7116731469462065</v>
      </c>
      <c r="Q391">
        <f>LN(1+Table1[[#This Row],[L* lab]])</f>
        <v>3.8425545575474809</v>
      </c>
      <c r="R391">
        <f>LN(1+Table1[[#This Row],[a* lab]]+128)</f>
        <v>5.0592727405552349</v>
      </c>
      <c r="S391">
        <f>LN(1+Table1[[#This Row],[b* lab]]+128)</f>
        <v>5.1931188396798911</v>
      </c>
      <c r="T391">
        <f>LN(1+Table1[[#This Row],[Hue]])</f>
        <v>3.3871887652722021</v>
      </c>
      <c r="U391">
        <f>LN(1+Table1[[#This Row],[Saturation]])</f>
        <v>4.527987497558625</v>
      </c>
      <c r="V391">
        <f>LN(1+Table1[[#This Row],[Value]])</f>
        <v>4.1956400949763717</v>
      </c>
    </row>
    <row r="392" spans="1:23" x14ac:dyDescent="0.3">
      <c r="A392">
        <v>500</v>
      </c>
      <c r="B392">
        <v>165.12587221918099</v>
      </c>
      <c r="C392">
        <v>85.472875234756899</v>
      </c>
      <c r="D392">
        <v>14.3986184227865</v>
      </c>
      <c r="E392">
        <v>45.108925580060898</v>
      </c>
      <c r="F392">
        <v>28.507019692763599</v>
      </c>
      <c r="G392">
        <v>50.419858770603803</v>
      </c>
      <c r="H392">
        <v>28.2925303905471</v>
      </c>
      <c r="I392">
        <v>91.280216583095793</v>
      </c>
      <c r="J392">
        <v>64.755244007522293</v>
      </c>
      <c r="K392" t="s">
        <v>1</v>
      </c>
      <c r="L392">
        <v>11.4</v>
      </c>
      <c r="M392">
        <v>1</v>
      </c>
      <c r="N392">
        <f>LN(1+Table1[[#This Row],[Redness]])</f>
        <v>5.1127457673984429</v>
      </c>
      <c r="O392">
        <f>LN(1+Table1[[#This Row],[Greeness]])</f>
        <v>4.4598307836599229</v>
      </c>
      <c r="P392">
        <f>LN(1+Table1[[#This Row],[Blueness]])</f>
        <v>2.7342777925890775</v>
      </c>
      <c r="Q392">
        <f>LN(1+Table1[[#This Row],[L* lab]])</f>
        <v>3.8310065447122827</v>
      </c>
      <c r="R392">
        <f>LN(1+Table1[[#This Row],[a* lab]]+128)</f>
        <v>5.0594700267503621</v>
      </c>
      <c r="S392">
        <f>LN(1+Table1[[#This Row],[b* lab]]+128)</f>
        <v>5.1897286389867174</v>
      </c>
      <c r="T392">
        <f>LN(1+Table1[[#This Row],[Hue]])</f>
        <v>3.3773325480452407</v>
      </c>
      <c r="U392">
        <f>LN(1+Table1[[#This Row],[Saturation]])</f>
        <v>4.5248297803237758</v>
      </c>
      <c r="V392">
        <f>LN(1+Table1[[#This Row],[Value]])</f>
        <v>4.1859394246458717</v>
      </c>
    </row>
    <row r="393" spans="1:23" x14ac:dyDescent="0.3">
      <c r="A393">
        <v>500</v>
      </c>
      <c r="B393">
        <v>165.17264444140301</v>
      </c>
      <c r="C393">
        <v>85.236980843328794</v>
      </c>
      <c r="D393">
        <v>14.979422162663599</v>
      </c>
      <c r="E393">
        <v>45.065905060472097</v>
      </c>
      <c r="F393">
        <v>28.667226840920801</v>
      </c>
      <c r="G393">
        <v>50.214103784082504</v>
      </c>
      <c r="H393">
        <v>28.066869176137399</v>
      </c>
      <c r="I393">
        <v>90.931051438134602</v>
      </c>
      <c r="J393">
        <v>64.773586055452199</v>
      </c>
      <c r="K393" t="s">
        <v>1</v>
      </c>
      <c r="L393">
        <v>11.4</v>
      </c>
      <c r="M393">
        <v>1</v>
      </c>
      <c r="N393">
        <f>LN(1+Table1[[#This Row],[Redness]])</f>
        <v>5.1130272746588483</v>
      </c>
      <c r="O393">
        <f>LN(1+Table1[[#This Row],[Greeness]])</f>
        <v>4.4570990977738489</v>
      </c>
      <c r="P393">
        <f>LN(1+Table1[[#This Row],[Blueness]])</f>
        <v>2.7713017796507717</v>
      </c>
      <c r="Q393">
        <f>LN(1+Table1[[#This Row],[L* lab]])</f>
        <v>3.8300730898328186</v>
      </c>
      <c r="R393">
        <f>LN(1+Table1[[#This Row],[a* lab]]+128)</f>
        <v>5.0604866527197574</v>
      </c>
      <c r="S393">
        <f>LN(1+Table1[[#This Row],[b* lab]]+128)</f>
        <v>5.1885812015960671</v>
      </c>
      <c r="T393">
        <f>LN(1+Table1[[#This Row],[Hue]])</f>
        <v>3.3695990092915014</v>
      </c>
      <c r="U393">
        <f>LN(1+Table1[[#This Row],[Saturation]])</f>
        <v>4.5210388551879861</v>
      </c>
      <c r="V393">
        <f>LN(1+Table1[[#This Row],[Value]])</f>
        <v>4.1862183300089022</v>
      </c>
    </row>
    <row r="394" spans="1:23" x14ac:dyDescent="0.3">
      <c r="A394">
        <v>500</v>
      </c>
      <c r="B394">
        <v>164.883727774741</v>
      </c>
      <c r="C394">
        <v>84.908775361536101</v>
      </c>
      <c r="D394">
        <v>14.7738878482955</v>
      </c>
      <c r="E394">
        <v>44.949996940997799</v>
      </c>
      <c r="F394">
        <v>28.719245326431398</v>
      </c>
      <c r="G394">
        <v>50.152951991682002</v>
      </c>
      <c r="H394">
        <v>28.033427074843299</v>
      </c>
      <c r="I394">
        <v>91.0398145119091</v>
      </c>
      <c r="J394">
        <v>64.660285401859497</v>
      </c>
      <c r="K394" t="s">
        <v>1</v>
      </c>
      <c r="L394">
        <v>11.4</v>
      </c>
      <c r="M394">
        <v>1</v>
      </c>
      <c r="N394">
        <f>LN(1+Table1[[#This Row],[Redness]])</f>
        <v>5.1112871078453557</v>
      </c>
      <c r="O394">
        <f>LN(1+Table1[[#This Row],[Greeness]])</f>
        <v>4.4532859816483059</v>
      </c>
      <c r="P394">
        <f>LN(1+Table1[[#This Row],[Blueness]])</f>
        <v>2.7583559050415278</v>
      </c>
      <c r="Q394">
        <f>LN(1+Table1[[#This Row],[L* lab]])</f>
        <v>3.8275537822292849</v>
      </c>
      <c r="R394">
        <f>LN(1+Table1[[#This Row],[a* lab]]+128)</f>
        <v>5.0608165241034273</v>
      </c>
      <c r="S394">
        <f>LN(1+Table1[[#This Row],[b* lab]]+128)</f>
        <v>5.1882399213806654</v>
      </c>
      <c r="T394">
        <f>LN(1+Table1[[#This Row],[Hue]])</f>
        <v>3.3684478239397837</v>
      </c>
      <c r="U394">
        <f>LN(1+Table1[[#This Row],[Saturation]])</f>
        <v>4.5222212498664502</v>
      </c>
      <c r="V394">
        <f>LN(1+Table1[[#This Row],[Value]])</f>
        <v>4.1844942587264962</v>
      </c>
    </row>
    <row r="395" spans="1:23" x14ac:dyDescent="0.3">
      <c r="A395">
        <v>500</v>
      </c>
      <c r="B395">
        <v>163.46719999698999</v>
      </c>
      <c r="C395">
        <v>82.077848219997904</v>
      </c>
      <c r="D395">
        <v>11.6481851939803</v>
      </c>
      <c r="E395">
        <v>44.106148718010999</v>
      </c>
      <c r="F395">
        <v>29.591240249773499</v>
      </c>
      <c r="G395">
        <v>50.340797739011997</v>
      </c>
      <c r="H395">
        <v>27.834324883771199</v>
      </c>
      <c r="I395">
        <v>92.874298211387398</v>
      </c>
      <c r="J395">
        <v>64.104784312545107</v>
      </c>
      <c r="K395" t="s">
        <v>1</v>
      </c>
      <c r="L395">
        <v>11.4</v>
      </c>
      <c r="M395">
        <v>1</v>
      </c>
      <c r="N395">
        <f>LN(1+Table1[[#This Row],[Redness]])</f>
        <v>5.1027111582086135</v>
      </c>
      <c r="O395">
        <f>LN(1+Table1[[#This Row],[Greeness]])</f>
        <v>4.4197780985761801</v>
      </c>
      <c r="P395">
        <f>LN(1+Table1[[#This Row],[Blueness]])</f>
        <v>2.5375137419552809</v>
      </c>
      <c r="Q395">
        <f>LN(1+Table1[[#This Row],[L* lab]])</f>
        <v>3.8090185724267194</v>
      </c>
      <c r="R395">
        <f>LN(1+Table1[[#This Row],[a* lab]]+128)</f>
        <v>5.0663300759589855</v>
      </c>
      <c r="S395">
        <f>LN(1+Table1[[#This Row],[b* lab]]+128)</f>
        <v>5.1892878937074514</v>
      </c>
      <c r="T395">
        <f>LN(1+Table1[[#This Row],[Hue]])</f>
        <v>3.361566513710962</v>
      </c>
      <c r="U395">
        <f>LN(1+Table1[[#This Row],[Saturation]])</f>
        <v>4.5419566342788569</v>
      </c>
      <c r="V395">
        <f>LN(1+Table1[[#This Row],[Value]])</f>
        <v>4.1759980382583022</v>
      </c>
    </row>
    <row r="396" spans="1:23" x14ac:dyDescent="0.3">
      <c r="A396">
        <v>500</v>
      </c>
      <c r="B396">
        <v>165.64648888583801</v>
      </c>
      <c r="C396">
        <v>84.987447566076995</v>
      </c>
      <c r="D396">
        <v>16.542298489264802</v>
      </c>
      <c r="E396">
        <v>45.089823013984898</v>
      </c>
      <c r="F396">
        <v>29.036637208497201</v>
      </c>
      <c r="G396">
        <v>49.7636439910181</v>
      </c>
      <c r="H396">
        <v>27.542545475657398</v>
      </c>
      <c r="I396">
        <v>90.013492830104198</v>
      </c>
      <c r="J396">
        <v>64.959407406211298</v>
      </c>
      <c r="K396" t="s">
        <v>1</v>
      </c>
      <c r="L396">
        <v>11.4</v>
      </c>
      <c r="M396">
        <v>1</v>
      </c>
      <c r="N396">
        <f>LN(1+Table1[[#This Row],[Redness]])</f>
        <v>5.1158747357399479</v>
      </c>
      <c r="O396">
        <f>LN(1+Table1[[#This Row],[Greeness]])</f>
        <v>4.4542013270665359</v>
      </c>
      <c r="P396">
        <f>LN(1+Table1[[#This Row],[Blueness]])</f>
        <v>2.8646150210761818</v>
      </c>
      <c r="Q396">
        <f>LN(1+Table1[[#This Row],[L* lab]])</f>
        <v>3.8305921667160376</v>
      </c>
      <c r="R396">
        <f>LN(1+Table1[[#This Row],[a* lab]]+128)</f>
        <v>5.0628268872131459</v>
      </c>
      <c r="S396">
        <f>LN(1+Table1[[#This Row],[b* lab]]+128)</f>
        <v>5.1860645086808113</v>
      </c>
      <c r="T396">
        <f>LN(1+Table1[[#This Row],[Hue]])</f>
        <v>3.3513957978282618</v>
      </c>
      <c r="U396">
        <f>LN(1+Table1[[#This Row],[Saturation]])</f>
        <v>4.5110077683838039</v>
      </c>
      <c r="V396">
        <f>LN(1+Table1[[#This Row],[Value]])</f>
        <v>4.1890395135123395</v>
      </c>
    </row>
    <row r="397" spans="1:23" x14ac:dyDescent="0.3">
      <c r="A397">
        <v>500</v>
      </c>
      <c r="B397">
        <v>159.95574999999999</v>
      </c>
      <c r="C397">
        <v>80.355731939999998</v>
      </c>
      <c r="D397">
        <v>12.9035517</v>
      </c>
      <c r="E397">
        <v>43.194898190000004</v>
      </c>
      <c r="F397">
        <v>29.06124711</v>
      </c>
      <c r="G397">
        <v>49.032330799999997</v>
      </c>
      <c r="H397">
        <v>27.521729440000001</v>
      </c>
      <c r="I397">
        <v>91.933049170000004</v>
      </c>
      <c r="J397">
        <v>62.7277451</v>
      </c>
      <c r="K397" t="s">
        <v>1</v>
      </c>
      <c r="L397">
        <v>11.4</v>
      </c>
      <c r="M397">
        <v>1</v>
      </c>
      <c r="N397">
        <f>LN(1+Table1[[#This Row],[Redness]])</f>
        <v>5.081129482487234</v>
      </c>
      <c r="O397">
        <f>LN(1+Table1[[#This Row],[Greeness]])</f>
        <v>4.3988312914163998</v>
      </c>
      <c r="P397">
        <f>LN(1+Table1[[#This Row],[Blueness]])</f>
        <v>2.6321443254830967</v>
      </c>
      <c r="Q397">
        <f>LN(1+Table1[[#This Row],[L* lab]])</f>
        <v>3.7886093568559982</v>
      </c>
      <c r="R397">
        <f>LN(1+Table1[[#This Row],[a* lab]]+128)</f>
        <v>5.0629825978507261</v>
      </c>
      <c r="S397">
        <f>LN(1+Table1[[#This Row],[b* lab]]+128)</f>
        <v>5.1819651675065455</v>
      </c>
      <c r="T397">
        <f>LN(1+Table1[[#This Row],[Hue]])</f>
        <v>3.3506662332587842</v>
      </c>
      <c r="U397">
        <f>LN(1+Table1[[#This Row],[Saturation]])</f>
        <v>4.5318793325019628</v>
      </c>
      <c r="V397">
        <f>LN(1+Table1[[#This Row],[Value]])</f>
        <v>4.1546200266195896</v>
      </c>
      <c r="W397" t="s">
        <v>26</v>
      </c>
    </row>
    <row r="398" spans="1:23" x14ac:dyDescent="0.3">
      <c r="A398">
        <v>500</v>
      </c>
      <c r="B398">
        <v>162.88371110811099</v>
      </c>
      <c r="C398">
        <v>83.130447983430301</v>
      </c>
      <c r="D398">
        <v>16.172062285066001</v>
      </c>
      <c r="E398">
        <v>44.2630173044248</v>
      </c>
      <c r="F398">
        <v>28.861281945289701</v>
      </c>
      <c r="G398">
        <v>49.076732153782601</v>
      </c>
      <c r="H398">
        <v>27.383668400779101</v>
      </c>
      <c r="I398">
        <v>90.071406050951197</v>
      </c>
      <c r="J398">
        <v>63.875965140436001</v>
      </c>
      <c r="K398" t="s">
        <v>1</v>
      </c>
      <c r="L398">
        <v>11.4</v>
      </c>
      <c r="M398">
        <v>1</v>
      </c>
      <c r="N398">
        <f>LN(1+Table1[[#This Row],[Redness]])</f>
        <v>5.0991570976999787</v>
      </c>
      <c r="O398">
        <f>LN(1+Table1[[#This Row],[Greeness]])</f>
        <v>4.432368546443711</v>
      </c>
      <c r="P398">
        <f>LN(1+Table1[[#This Row],[Blueness]])</f>
        <v>2.8432837774851327</v>
      </c>
      <c r="Q398">
        <f>LN(1+Table1[[#This Row],[L* lab]])</f>
        <v>3.8124903040112557</v>
      </c>
      <c r="R398">
        <f>LN(1+Table1[[#This Row],[a* lab]]+128)</f>
        <v>5.0617166850206878</v>
      </c>
      <c r="S398">
        <f>LN(1+Table1[[#This Row],[b* lab]]+128)</f>
        <v>5.1822145369196368</v>
      </c>
      <c r="T398">
        <f>LN(1+Table1[[#This Row],[Hue]])</f>
        <v>3.3458139234482696</v>
      </c>
      <c r="U398">
        <f>LN(1+Table1[[#This Row],[Saturation]])</f>
        <v>4.5116438806935646</v>
      </c>
      <c r="V398">
        <f>LN(1+Table1[[#This Row],[Value]])</f>
        <v>4.1724772182992611</v>
      </c>
    </row>
    <row r="399" spans="1:23" x14ac:dyDescent="0.3">
      <c r="A399">
        <v>500</v>
      </c>
      <c r="B399">
        <v>160.20126666371601</v>
      </c>
      <c r="C399">
        <v>80.179737535479603</v>
      </c>
      <c r="D399">
        <v>14.4338787491182</v>
      </c>
      <c r="E399">
        <v>43.201828333273603</v>
      </c>
      <c r="F399">
        <v>29.288785414468901</v>
      </c>
      <c r="G399">
        <v>48.613886340964299</v>
      </c>
      <c r="H399">
        <v>27.061962100142701</v>
      </c>
      <c r="I399">
        <v>90.990159410276803</v>
      </c>
      <c r="J399">
        <v>62.824026142634096</v>
      </c>
      <c r="K399" t="s">
        <v>1</v>
      </c>
      <c r="L399">
        <v>11.4</v>
      </c>
      <c r="M399">
        <v>1</v>
      </c>
      <c r="N399">
        <f>LN(1+Table1[[#This Row],[Redness]])</f>
        <v>5.0826536877570163</v>
      </c>
      <c r="O399">
        <f>LN(1+Table1[[#This Row],[Greeness]])</f>
        <v>4.3966656782875111</v>
      </c>
      <c r="P399">
        <f>LN(1+Table1[[#This Row],[Blueness]])</f>
        <v>2.7365650119152818</v>
      </c>
      <c r="Q399">
        <f>LN(1+Table1[[#This Row],[L* lab]])</f>
        <v>3.7887661532343344</v>
      </c>
      <c r="R399">
        <f>LN(1+Table1[[#This Row],[a* lab]]+128)</f>
        <v>5.0644211205016711</v>
      </c>
      <c r="S399">
        <f>LN(1+Table1[[#This Row],[b* lab]]+128)</f>
        <v>5.1796120163582611</v>
      </c>
      <c r="T399">
        <f>LN(1+Table1[[#This Row],[Hue]])</f>
        <v>3.3344149973951205</v>
      </c>
      <c r="U399">
        <f>LN(1+Table1[[#This Row],[Saturation]])</f>
        <v>4.5216816083963245</v>
      </c>
      <c r="V399">
        <f>LN(1+Table1[[#This Row],[Value]])</f>
        <v>4.1561297047680386</v>
      </c>
    </row>
    <row r="400" spans="1:23" x14ac:dyDescent="0.3">
      <c r="A400">
        <v>500</v>
      </c>
      <c r="B400">
        <v>161.509488885915</v>
      </c>
      <c r="C400">
        <v>80.463959693823995</v>
      </c>
      <c r="D400">
        <v>14.8769799982463</v>
      </c>
      <c r="E400">
        <v>43.465903010455499</v>
      </c>
      <c r="F400">
        <v>29.696408669118501</v>
      </c>
      <c r="G400">
        <v>48.791706537605499</v>
      </c>
      <c r="H400">
        <v>26.837287389997002</v>
      </c>
      <c r="I400">
        <v>90.788788881156705</v>
      </c>
      <c r="J400">
        <v>63.337054465064703</v>
      </c>
      <c r="K400" t="s">
        <v>1</v>
      </c>
      <c r="L400">
        <v>11.4</v>
      </c>
      <c r="M400">
        <v>1</v>
      </c>
      <c r="N400">
        <f>LN(1+Table1[[#This Row],[Redness]])</f>
        <v>5.0907363932090712</v>
      </c>
      <c r="O400">
        <f>LN(1+Table1[[#This Row],[Greeness]])</f>
        <v>4.4001607100963849</v>
      </c>
      <c r="P400">
        <f>LN(1+Table1[[#This Row],[Blueness]])</f>
        <v>2.764870261300306</v>
      </c>
      <c r="Q400">
        <f>LN(1+Table1[[#This Row],[L* lab]])</f>
        <v>3.794722670988032</v>
      </c>
      <c r="R400">
        <f>LN(1+Table1[[#This Row],[a* lab]]+128)</f>
        <v>5.0669929975921146</v>
      </c>
      <c r="S400">
        <f>LN(1+Table1[[#This Row],[b* lab]]+128)</f>
        <v>5.1806126770965397</v>
      </c>
      <c r="T400">
        <f>LN(1+Table1[[#This Row],[Hue]])</f>
        <v>3.3263763950149214</v>
      </c>
      <c r="U400">
        <f>LN(1+Table1[[#This Row],[Saturation]])</f>
        <v>4.519490164690926</v>
      </c>
      <c r="V400">
        <f>LN(1+Table1[[#This Row],[Value]])</f>
        <v>4.1641357399899013</v>
      </c>
    </row>
    <row r="401" spans="1:23" x14ac:dyDescent="0.3">
      <c r="A401">
        <v>500</v>
      </c>
      <c r="B401">
        <v>160.625761108153</v>
      </c>
      <c r="C401">
        <v>79.592143223094595</v>
      </c>
      <c r="D401">
        <v>14.7168113408539</v>
      </c>
      <c r="E401">
        <v>43.140359853703501</v>
      </c>
      <c r="F401">
        <v>29.791033890676999</v>
      </c>
      <c r="G401">
        <v>48.527337647370999</v>
      </c>
      <c r="H401">
        <v>26.677732374486599</v>
      </c>
      <c r="I401">
        <v>90.837826237010106</v>
      </c>
      <c r="J401">
        <v>62.990494552217001</v>
      </c>
      <c r="K401" t="s">
        <v>1</v>
      </c>
      <c r="L401">
        <v>11.4</v>
      </c>
      <c r="M401">
        <v>1</v>
      </c>
      <c r="N401">
        <f>LN(1+Table1[[#This Row],[Redness]])</f>
        <v>5.0852835461801016</v>
      </c>
      <c r="O401">
        <f>LN(1+Table1[[#This Row],[Greeness]])</f>
        <v>4.389401166139578</v>
      </c>
      <c r="P401">
        <f>LN(1+Table1[[#This Row],[Blueness]])</f>
        <v>2.7547309255134582</v>
      </c>
      <c r="Q401">
        <f>LN(1+Table1[[#This Row],[L* lab]])</f>
        <v>3.7873745533486773</v>
      </c>
      <c r="R401">
        <f>LN(1+Table1[[#This Row],[a* lab]]+128)</f>
        <v>5.067589085573406</v>
      </c>
      <c r="S401">
        <f>LN(1+Table1[[#This Row],[b* lab]]+128)</f>
        <v>5.1791246119711571</v>
      </c>
      <c r="T401">
        <f>LN(1+Table1[[#This Row],[Hue]])</f>
        <v>3.3206282045065612</v>
      </c>
      <c r="U401">
        <f>LN(1+Table1[[#This Row],[Saturation]])</f>
        <v>4.5200242632690379</v>
      </c>
      <c r="V401">
        <f>LN(1+Table1[[#This Row],[Value]])</f>
        <v>4.1587345497074857</v>
      </c>
    </row>
    <row r="402" spans="1:23" x14ac:dyDescent="0.3">
      <c r="A402">
        <v>600</v>
      </c>
      <c r="B402">
        <v>165.094555552515</v>
      </c>
      <c r="C402">
        <v>84.108758874669903</v>
      </c>
      <c r="D402">
        <v>12.2148170270554</v>
      </c>
      <c r="E402">
        <v>44.799302116044302</v>
      </c>
      <c r="F402">
        <v>29.192232635752202</v>
      </c>
      <c r="G402">
        <v>50.792571009976598</v>
      </c>
      <c r="H402">
        <v>28.2158810085777</v>
      </c>
      <c r="I402">
        <v>92.601320506193204</v>
      </c>
      <c r="J402">
        <v>64.7429629617708</v>
      </c>
      <c r="K402" t="s">
        <v>1</v>
      </c>
      <c r="L402">
        <v>13.68</v>
      </c>
      <c r="M402">
        <v>1</v>
      </c>
      <c r="N402">
        <f>LN(1+Table1[[#This Row],[Redness]])</f>
        <v>5.1125572379514805</v>
      </c>
      <c r="O402">
        <f>LN(1+Table1[[#This Row],[Greeness]])</f>
        <v>4.4439299547796747</v>
      </c>
      <c r="P402">
        <f>LN(1+Table1[[#This Row],[Blueness]])</f>
        <v>2.5813387021076095</v>
      </c>
      <c r="Q402">
        <f>LN(1+Table1[[#This Row],[L* lab]])</f>
        <v>3.8242688533630913</v>
      </c>
      <c r="R402">
        <f>LN(1+Table1[[#This Row],[a* lab]]+128)</f>
        <v>5.0638109557448265</v>
      </c>
      <c r="S402">
        <f>LN(1+Table1[[#This Row],[b* lab]]+128)</f>
        <v>5.1918038031081348</v>
      </c>
      <c r="T402">
        <f>LN(1+Table1[[#This Row],[Hue]])</f>
        <v>3.3747124315872359</v>
      </c>
      <c r="U402">
        <f>LN(1+Table1[[#This Row],[Saturation]])</f>
        <v>4.5390444913561794</v>
      </c>
      <c r="V402">
        <f>LN(1+Table1[[#This Row],[Value]])</f>
        <v>4.1857526381326524</v>
      </c>
    </row>
    <row r="403" spans="1:23" x14ac:dyDescent="0.3">
      <c r="A403">
        <v>600</v>
      </c>
      <c r="B403">
        <v>162.76146666366901</v>
      </c>
      <c r="C403">
        <v>80.929092922620498</v>
      </c>
      <c r="D403">
        <v>9.5937864737249203</v>
      </c>
      <c r="E403">
        <v>43.741295497220101</v>
      </c>
      <c r="F403">
        <v>29.879507452901102</v>
      </c>
      <c r="G403">
        <v>50.5739659575517</v>
      </c>
      <c r="H403">
        <v>27.944004777156</v>
      </c>
      <c r="I403">
        <v>94.105615616287395</v>
      </c>
      <c r="J403">
        <v>63.828026142615599</v>
      </c>
      <c r="K403" t="s">
        <v>1</v>
      </c>
      <c r="L403">
        <v>13.68</v>
      </c>
      <c r="M403">
        <v>1</v>
      </c>
      <c r="N403">
        <f>LN(1+Table1[[#This Row],[Redness]])</f>
        <v>5.0984108974906821</v>
      </c>
      <c r="O403">
        <f>LN(1+Table1[[#This Row],[Greeness]])</f>
        <v>4.4058541527220028</v>
      </c>
      <c r="P403">
        <f>LN(1+Table1[[#This Row],[Blueness]])</f>
        <v>2.3602676475222819</v>
      </c>
      <c r="Q403">
        <f>LN(1+Table1[[#This Row],[L* lab]])</f>
        <v>3.800896911771956</v>
      </c>
      <c r="R403">
        <f>LN(1+Table1[[#This Row],[a* lab]]+128)</f>
        <v>5.0681461001718473</v>
      </c>
      <c r="S403">
        <f>LN(1+Table1[[#This Row],[b* lab]]+128)</f>
        <v>5.1905871896680882</v>
      </c>
      <c r="T403">
        <f>LN(1+Table1[[#This Row],[Hue]])</f>
        <v>3.3653630937011569</v>
      </c>
      <c r="U403">
        <f>LN(1+Table1[[#This Row],[Saturation]])</f>
        <v>4.5549880174009134</v>
      </c>
      <c r="V403">
        <f>LN(1+Table1[[#This Row],[Value]])</f>
        <v>4.1717380120569691</v>
      </c>
    </row>
    <row r="404" spans="1:23" x14ac:dyDescent="0.3">
      <c r="A404">
        <v>600</v>
      </c>
      <c r="B404">
        <v>163.860955552538</v>
      </c>
      <c r="C404">
        <v>83.393559035408202</v>
      </c>
      <c r="D404">
        <v>16.095263994344499</v>
      </c>
      <c r="E404">
        <v>44.4681236219864</v>
      </c>
      <c r="F404">
        <v>29.132732155235999</v>
      </c>
      <c r="G404">
        <v>49.324860254037198</v>
      </c>
      <c r="H404">
        <v>27.326354716606101</v>
      </c>
      <c r="I404">
        <v>90.177486796612698</v>
      </c>
      <c r="J404">
        <v>64.259198255897402</v>
      </c>
      <c r="K404" t="s">
        <v>1</v>
      </c>
      <c r="L404">
        <v>13.68</v>
      </c>
      <c r="M404">
        <v>1</v>
      </c>
      <c r="N404">
        <f>LN(1+Table1[[#This Row],[Redness]])</f>
        <v>5.1051024250137287</v>
      </c>
      <c r="O404">
        <f>LN(1+Table1[[#This Row],[Greeness]])</f>
        <v>4.4354910839434449</v>
      </c>
      <c r="P404">
        <f>LN(1+Table1[[#This Row],[Blueness]])</f>
        <v>2.8388014657532192</v>
      </c>
      <c r="Q404">
        <f>LN(1+Table1[[#This Row],[L* lab]])</f>
        <v>3.8170115006996808</v>
      </c>
      <c r="R404">
        <f>LN(1+Table1[[#This Row],[a* lab]]+128)</f>
        <v>5.063434757291712</v>
      </c>
      <c r="S404">
        <f>LN(1+Table1[[#This Row],[b* lab]]+128)</f>
        <v>5.1836069445049535</v>
      </c>
      <c r="T404">
        <f>LN(1+Table1[[#This Row],[Hue]])</f>
        <v>3.3437926333645809</v>
      </c>
      <c r="U404">
        <f>LN(1+Table1[[#This Row],[Saturation]])</f>
        <v>4.5128080113062019</v>
      </c>
      <c r="V404">
        <f>LN(1+Table1[[#This Row],[Value]])</f>
        <v>4.178367005706586</v>
      </c>
    </row>
    <row r="405" spans="1:23" x14ac:dyDescent="0.3">
      <c r="A405">
        <v>600</v>
      </c>
      <c r="B405">
        <v>164.70857777474501</v>
      </c>
      <c r="C405">
        <v>83.986958902043995</v>
      </c>
      <c r="D405">
        <v>17.681695352243398</v>
      </c>
      <c r="E405">
        <v>44.732842538036998</v>
      </c>
      <c r="F405">
        <v>29.207569789703101</v>
      </c>
      <c r="G405">
        <v>49.050877786857697</v>
      </c>
      <c r="H405">
        <v>27.058424605343902</v>
      </c>
      <c r="I405">
        <v>89.2648606459191</v>
      </c>
      <c r="J405">
        <v>64.591599127351003</v>
      </c>
      <c r="K405" t="s">
        <v>1</v>
      </c>
      <c r="L405">
        <v>13.68</v>
      </c>
      <c r="M405">
        <v>1</v>
      </c>
      <c r="N405">
        <f>LN(1+Table1[[#This Row],[Redness]])</f>
        <v>5.1102306899891277</v>
      </c>
      <c r="O405">
        <f>LN(1+Table1[[#This Row],[Greeness]])</f>
        <v>4.442497820037711</v>
      </c>
      <c r="P405">
        <f>LN(1+Table1[[#This Row],[Blueness]])</f>
        <v>2.9275441862972165</v>
      </c>
      <c r="Q405">
        <f>LN(1+Table1[[#This Row],[L* lab]])</f>
        <v>3.8228166948905145</v>
      </c>
      <c r="R405">
        <f>LN(1+Table1[[#This Row],[a* lab]]+128)</f>
        <v>5.0639079036812369</v>
      </c>
      <c r="S405">
        <f>LN(1+Table1[[#This Row],[b* lab]]+128)</f>
        <v>5.1820693397136433</v>
      </c>
      <c r="T405">
        <f>LN(1+Table1[[#This Row],[Hue]])</f>
        <v>3.3342889293114473</v>
      </c>
      <c r="U405">
        <f>LN(1+Table1[[#This Row],[Saturation]])</f>
        <v>4.5027482445544837</v>
      </c>
      <c r="V405">
        <f>LN(1+Table1[[#This Row],[Value]])</f>
        <v>4.1834476256663304</v>
      </c>
    </row>
    <row r="406" spans="1:23" x14ac:dyDescent="0.3">
      <c r="A406">
        <v>600</v>
      </c>
      <c r="B406">
        <v>164.0450778</v>
      </c>
      <c r="C406">
        <v>83.051147999999998</v>
      </c>
      <c r="D406">
        <v>17.062442470000001</v>
      </c>
      <c r="E406">
        <v>44.425721940000003</v>
      </c>
      <c r="F406">
        <v>29.419583970000001</v>
      </c>
      <c r="G406">
        <v>48.963180289999997</v>
      </c>
      <c r="H406">
        <v>26.937347559999999</v>
      </c>
      <c r="I406">
        <v>89.598930550000006</v>
      </c>
      <c r="J406">
        <v>64.331403050000006</v>
      </c>
      <c r="K406" t="s">
        <v>1</v>
      </c>
      <c r="L406">
        <v>13.68</v>
      </c>
      <c r="M406">
        <v>1</v>
      </c>
      <c r="N406">
        <f>LN(1+Table1[[#This Row],[Redness]])</f>
        <v>5.1062186353764663</v>
      </c>
      <c r="O406">
        <f>LN(1+Table1[[#This Row],[Greeness]])</f>
        <v>4.4314255182979334</v>
      </c>
      <c r="P406">
        <f>LN(1+Table1[[#This Row],[Blueness]])</f>
        <v>2.8938347808156757</v>
      </c>
      <c r="Q406">
        <f>LN(1+Table1[[#This Row],[L* lab]])</f>
        <v>3.8160785071663992</v>
      </c>
      <c r="R406">
        <f>LN(1+Table1[[#This Row],[a* lab]]+128)</f>
        <v>5.0652471079122456</v>
      </c>
      <c r="S406">
        <f>LN(1+Table1[[#This Row],[b* lab]]+128)</f>
        <v>5.1815766765918259</v>
      </c>
      <c r="T406">
        <f>LN(1+Table1[[#This Row],[Hue]])</f>
        <v>3.3299644158935768</v>
      </c>
      <c r="U406">
        <f>LN(1+Table1[[#This Row],[Saturation]])</f>
        <v>4.5064424088953796</v>
      </c>
      <c r="V406">
        <f>LN(1+Table1[[#This Row],[Value]])</f>
        <v>4.1794728249728799</v>
      </c>
      <c r="W406" t="s">
        <v>26</v>
      </c>
    </row>
    <row r="407" spans="1:23" x14ac:dyDescent="0.3">
      <c r="A407">
        <v>600</v>
      </c>
      <c r="B407">
        <v>161.51657777480301</v>
      </c>
      <c r="C407">
        <v>80.502293018542105</v>
      </c>
      <c r="D407">
        <v>15.6144969168678</v>
      </c>
      <c r="E407">
        <v>43.478407604356697</v>
      </c>
      <c r="F407">
        <v>29.693954783966799</v>
      </c>
      <c r="G407">
        <v>48.567015873900402</v>
      </c>
      <c r="H407">
        <v>26.6841140524329</v>
      </c>
      <c r="I407">
        <v>90.332573205805204</v>
      </c>
      <c r="J407">
        <v>63.339834421491702</v>
      </c>
      <c r="K407" t="s">
        <v>1</v>
      </c>
      <c r="L407">
        <v>13.68</v>
      </c>
      <c r="M407">
        <v>1</v>
      </c>
      <c r="N407">
        <f>LN(1+Table1[[#This Row],[Redness]])</f>
        <v>5.0907800136421146</v>
      </c>
      <c r="O407">
        <f>LN(1+Table1[[#This Row],[Greeness]])</f>
        <v>4.4006311550478658</v>
      </c>
      <c r="P407">
        <f>LN(1+Table1[[#This Row],[Blueness]])</f>
        <v>2.8102756224957695</v>
      </c>
      <c r="Q407">
        <f>LN(1+Table1[[#This Row],[L* lab]])</f>
        <v>3.7950038490397175</v>
      </c>
      <c r="R407">
        <f>LN(1+Table1[[#This Row],[a* lab]]+128)</f>
        <v>5.0669775347083332</v>
      </c>
      <c r="S407">
        <f>LN(1+Table1[[#This Row],[b* lab]]+128)</f>
        <v>5.1793480918789685</v>
      </c>
      <c r="T407">
        <f>LN(1+Table1[[#This Row],[Hue]])</f>
        <v>3.3208587487671464</v>
      </c>
      <c r="U407">
        <f>LN(1+Table1[[#This Row],[Saturation]])</f>
        <v>4.5145074951211512</v>
      </c>
      <c r="V407">
        <f>LN(1+Table1[[#This Row],[Value]])</f>
        <v>4.1641789483150555</v>
      </c>
    </row>
    <row r="408" spans="1:23" x14ac:dyDescent="0.3">
      <c r="A408">
        <v>600</v>
      </c>
      <c r="B408">
        <v>160.33731940000001</v>
      </c>
      <c r="C408">
        <v>79.264057190000003</v>
      </c>
      <c r="D408">
        <v>14.50542993</v>
      </c>
      <c r="E408">
        <v>43.024032679999998</v>
      </c>
      <c r="F408">
        <v>29.84253137</v>
      </c>
      <c r="G408">
        <v>48.477298040000001</v>
      </c>
      <c r="H408">
        <v>26.643813290000001</v>
      </c>
      <c r="I408">
        <v>90.953179219999996</v>
      </c>
      <c r="J408">
        <v>62.877380170000002</v>
      </c>
      <c r="K408" t="s">
        <v>1</v>
      </c>
      <c r="L408">
        <v>13.68</v>
      </c>
      <c r="M408">
        <v>1</v>
      </c>
      <c r="N408">
        <f>LN(1+Table1[[#This Row],[Redness]])</f>
        <v>5.0834973247681017</v>
      </c>
      <c r="O408">
        <f>LN(1+Table1[[#This Row],[Greeness]])</f>
        <v>4.3853219141467301</v>
      </c>
      <c r="P408">
        <f>LN(1+Table1[[#This Row],[Blueness]])</f>
        <v>2.7411902806426709</v>
      </c>
      <c r="Q408">
        <f>LN(1+Table1[[#This Row],[L* lab]])</f>
        <v>3.7847356820795519</v>
      </c>
      <c r="R408">
        <f>LN(1+Table1[[#This Row],[a* lab]]+128)</f>
        <v>5.0679133427389349</v>
      </c>
      <c r="S408">
        <f>LN(1+Table1[[#This Row],[b* lab]]+128)</f>
        <v>5.1788427023695798</v>
      </c>
      <c r="T408">
        <f>LN(1+Table1[[#This Row],[Hue]])</f>
        <v>3.3194019521186529</v>
      </c>
      <c r="U408">
        <f>LN(1+Table1[[#This Row],[Saturation]])</f>
        <v>4.5212795259827896</v>
      </c>
      <c r="V408">
        <f>LN(1+Table1[[#This Row],[Value]])</f>
        <v>4.1569653107650435</v>
      </c>
      <c r="W408" t="s">
        <v>26</v>
      </c>
    </row>
    <row r="409" spans="1:23" x14ac:dyDescent="0.3">
      <c r="A409">
        <v>600</v>
      </c>
      <c r="B409">
        <v>162.575866663673</v>
      </c>
      <c r="C409">
        <v>82.386337039555102</v>
      </c>
      <c r="D409">
        <v>19.402457053721999</v>
      </c>
      <c r="E409">
        <v>44.069304736737003</v>
      </c>
      <c r="F409">
        <v>29.209536296345401</v>
      </c>
      <c r="G409">
        <v>47.797253125682602</v>
      </c>
      <c r="H409">
        <v>26.394795021262901</v>
      </c>
      <c r="I409">
        <v>88.065598263818103</v>
      </c>
      <c r="J409">
        <v>63.7552418288914</v>
      </c>
      <c r="K409" t="s">
        <v>1</v>
      </c>
      <c r="L409">
        <v>13.68</v>
      </c>
      <c r="M409">
        <v>1</v>
      </c>
      <c r="N409">
        <f>LN(1+Table1[[#This Row],[Redness]])</f>
        <v>5.0972768990066175</v>
      </c>
      <c r="O409">
        <f>LN(1+Table1[[#This Row],[Greeness]])</f>
        <v>4.4234844714782415</v>
      </c>
      <c r="P409">
        <f>LN(1+Table1[[#This Row],[Blueness]])</f>
        <v>3.0156553374072992</v>
      </c>
      <c r="Q409">
        <f>LN(1+Table1[[#This Row],[L* lab]])</f>
        <v>3.8082014102853012</v>
      </c>
      <c r="R409">
        <f>LN(1+Table1[[#This Row],[a* lab]]+128)</f>
        <v>5.0639203335189702</v>
      </c>
      <c r="S409">
        <f>LN(1+Table1[[#This Row],[b* lab]]+128)</f>
        <v>5.1750036134634065</v>
      </c>
      <c r="T409">
        <f>LN(1+Table1[[#This Row],[Hue]])</f>
        <v>3.310353032621189</v>
      </c>
      <c r="U409">
        <f>LN(1+Table1[[#This Row],[Saturation]])</f>
        <v>4.4893731573814692</v>
      </c>
      <c r="V409">
        <f>LN(1+Table1[[#This Row],[Value]])</f>
        <v>4.1706146521893306</v>
      </c>
    </row>
    <row r="410" spans="1:23" x14ac:dyDescent="0.3">
      <c r="A410">
        <v>600</v>
      </c>
      <c r="B410">
        <v>160.25811110815999</v>
      </c>
      <c r="C410">
        <v>77.375782610101695</v>
      </c>
      <c r="D410">
        <v>12.9013795241999</v>
      </c>
      <c r="E410">
        <v>42.601066780726299</v>
      </c>
      <c r="F410">
        <v>30.790093665725099</v>
      </c>
      <c r="G410">
        <v>48.654634671048498</v>
      </c>
      <c r="H410">
        <v>26.252375059974401</v>
      </c>
      <c r="I410">
        <v>91.949624618068398</v>
      </c>
      <c r="J410">
        <v>62.846318081631502</v>
      </c>
      <c r="K410" t="s">
        <v>1</v>
      </c>
      <c r="L410">
        <v>13.68</v>
      </c>
      <c r="M410">
        <v>1</v>
      </c>
      <c r="N410">
        <f>LN(1+Table1[[#This Row],[Redness]])</f>
        <v>5.0830062558567599</v>
      </c>
      <c r="O410">
        <f>LN(1+Table1[[#This Row],[Greeness]])</f>
        <v>4.361514984359073</v>
      </c>
      <c r="P410">
        <f>LN(1+Table1[[#This Row],[Blueness]])</f>
        <v>2.63198808155737</v>
      </c>
      <c r="Q410">
        <f>LN(1+Table1[[#This Row],[L* lab]])</f>
        <v>3.7750816175035165</v>
      </c>
      <c r="R410">
        <f>LN(1+Table1[[#This Row],[a* lab]]+128)</f>
        <v>5.0738610393312689</v>
      </c>
      <c r="S410">
        <f>LN(1+Table1[[#This Row],[b* lab]]+128)</f>
        <v>5.1798414109026849</v>
      </c>
      <c r="T410">
        <f>LN(1+Table1[[#This Row],[Hue]])</f>
        <v>3.3051406754753994</v>
      </c>
      <c r="U410">
        <f>LN(1+Table1[[#This Row],[Saturation]])</f>
        <v>4.5320576756231858</v>
      </c>
      <c r="V410">
        <f>LN(1+Table1[[#This Row],[Value]])</f>
        <v>4.1564789156887016</v>
      </c>
    </row>
    <row r="411" spans="1:23" x14ac:dyDescent="0.3">
      <c r="A411">
        <v>600</v>
      </c>
      <c r="B411">
        <v>159.63237777483801</v>
      </c>
      <c r="C411">
        <v>76.895827162414193</v>
      </c>
      <c r="D411">
        <v>13.6068304898379</v>
      </c>
      <c r="E411">
        <v>42.4032429605613</v>
      </c>
      <c r="F411">
        <v>30.7987953919198</v>
      </c>
      <c r="G411">
        <v>48.242160580242299</v>
      </c>
      <c r="H411">
        <v>26.0046263887184</v>
      </c>
      <c r="I411">
        <v>91.476146205733798</v>
      </c>
      <c r="J411">
        <v>62.600932460720898</v>
      </c>
      <c r="K411" t="s">
        <v>1</v>
      </c>
      <c r="L411">
        <v>13.68</v>
      </c>
      <c r="M411">
        <v>1</v>
      </c>
      <c r="N411">
        <f>LN(1+Table1[[#This Row],[Redness]])</f>
        <v>5.0791183862668001</v>
      </c>
      <c r="O411">
        <f>LN(1+Table1[[#This Row],[Greeness]])</f>
        <v>4.3553723848490753</v>
      </c>
      <c r="P411">
        <f>LN(1+Table1[[#This Row],[Blueness]])</f>
        <v>2.6814892610801704</v>
      </c>
      <c r="Q411">
        <f>LN(1+Table1[[#This Row],[L* lab]])</f>
        <v>3.7705341609083436</v>
      </c>
      <c r="R411">
        <f>LN(1+Table1[[#This Row],[a* lab]]+128)</f>
        <v>5.0739154950804819</v>
      </c>
      <c r="S411">
        <f>LN(1+Table1[[#This Row],[b* lab]]+128)</f>
        <v>5.1775169363960227</v>
      </c>
      <c r="T411">
        <f>LN(1+Table1[[#This Row],[Hue]])</f>
        <v>3.2960081990562946</v>
      </c>
      <c r="U411">
        <f>LN(1+Table1[[#This Row],[Saturation]])</f>
        <v>4.5269507324049778</v>
      </c>
      <c r="V411">
        <f>LN(1+Table1[[#This Row],[Value]])</f>
        <v>4.1526281315706894</v>
      </c>
    </row>
    <row r="412" spans="1:23" x14ac:dyDescent="0.3">
      <c r="A412">
        <v>600</v>
      </c>
      <c r="B412">
        <v>159.89335555261101</v>
      </c>
      <c r="C412">
        <v>76.742582752410797</v>
      </c>
      <c r="D412">
        <v>13.1892397840397</v>
      </c>
      <c r="E412">
        <v>42.4107442495987</v>
      </c>
      <c r="F412">
        <v>30.9813662763449</v>
      </c>
      <c r="G412">
        <v>48.393532045323099</v>
      </c>
      <c r="H412">
        <v>25.992458071985201</v>
      </c>
      <c r="I412">
        <v>91.751227098551993</v>
      </c>
      <c r="J412">
        <v>62.703276687298597</v>
      </c>
      <c r="K412" t="s">
        <v>1</v>
      </c>
      <c r="L412">
        <v>13.68</v>
      </c>
      <c r="M412">
        <v>1</v>
      </c>
      <c r="N412">
        <f>LN(1+Table1[[#This Row],[Redness]])</f>
        <v>5.0807417576367113</v>
      </c>
      <c r="O412">
        <f>LN(1+Table1[[#This Row],[Greeness]])</f>
        <v>4.3534031478257802</v>
      </c>
      <c r="P412">
        <f>LN(1+Table1[[#This Row],[Blueness]])</f>
        <v>2.6524839156733639</v>
      </c>
      <c r="Q412">
        <f>LN(1+Table1[[#This Row],[L* lab]])</f>
        <v>3.770706973822417</v>
      </c>
      <c r="R412">
        <f>LN(1+Table1[[#This Row],[a* lab]]+128)</f>
        <v>5.0750573476789</v>
      </c>
      <c r="S412">
        <f>LN(1+Table1[[#This Row],[b* lab]]+128)</f>
        <v>5.1783706094888409</v>
      </c>
      <c r="T412">
        <f>LN(1+Table1[[#This Row],[Hue]])</f>
        <v>3.2955574963170369</v>
      </c>
      <c r="U412">
        <f>LN(1+Table1[[#This Row],[Saturation]])</f>
        <v>4.5299209315730939</v>
      </c>
      <c r="V412">
        <f>LN(1+Table1[[#This Row],[Value]])</f>
        <v>4.1542360006162049</v>
      </c>
    </row>
    <row r="413" spans="1:23" x14ac:dyDescent="0.3">
      <c r="A413">
        <v>600</v>
      </c>
      <c r="B413">
        <v>162.307822219233</v>
      </c>
      <c r="C413">
        <v>82.798381391394202</v>
      </c>
      <c r="D413">
        <v>22.649451452924598</v>
      </c>
      <c r="E413">
        <v>44.140346923066097</v>
      </c>
      <c r="F413">
        <v>28.9497371510015</v>
      </c>
      <c r="G413">
        <v>46.649468686109202</v>
      </c>
      <c r="H413">
        <v>25.841170683188199</v>
      </c>
      <c r="I413">
        <v>86.045372833398304</v>
      </c>
      <c r="J413">
        <v>63.650126360483803</v>
      </c>
      <c r="K413" t="s">
        <v>1</v>
      </c>
      <c r="L413">
        <v>13.68</v>
      </c>
      <c r="M413">
        <v>1</v>
      </c>
      <c r="N413">
        <f>LN(1+Table1[[#This Row],[Redness]])</f>
        <v>5.0956368997430657</v>
      </c>
      <c r="O413">
        <f>LN(1+Table1[[#This Row],[Greeness]])</f>
        <v>4.4284136921630033</v>
      </c>
      <c r="P413">
        <f>LN(1+Table1[[#This Row],[Blueness]])</f>
        <v>3.1633399202894386</v>
      </c>
      <c r="Q413">
        <f>LN(1+Table1[[#This Row],[L* lab]])</f>
        <v>3.8097764568509085</v>
      </c>
      <c r="R413">
        <f>LN(1+Table1[[#This Row],[a* lab]]+128)</f>
        <v>5.0622768631188304</v>
      </c>
      <c r="S413">
        <f>LN(1+Table1[[#This Row],[b* lab]]+128)</f>
        <v>5.1684903538630209</v>
      </c>
      <c r="T413">
        <f>LN(1+Table1[[#This Row],[Hue]])</f>
        <v>3.2899369282606359</v>
      </c>
      <c r="U413">
        <f>LN(1+Table1[[#This Row],[Saturation]])</f>
        <v>4.4664295095274067</v>
      </c>
      <c r="V413">
        <f>LN(1+Table1[[#This Row],[Value]])</f>
        <v>4.1689900597478013</v>
      </c>
    </row>
    <row r="414" spans="1:23" x14ac:dyDescent="0.3">
      <c r="A414">
        <v>600</v>
      </c>
      <c r="B414">
        <v>157.60116389999999</v>
      </c>
      <c r="C414">
        <v>75.899635720000006</v>
      </c>
      <c r="D414">
        <v>14.14342688</v>
      </c>
      <c r="E414">
        <v>41.874298699999997</v>
      </c>
      <c r="F414">
        <v>30.490455619999999</v>
      </c>
      <c r="G414">
        <v>47.517230220000002</v>
      </c>
      <c r="H414">
        <v>25.82901841</v>
      </c>
      <c r="I414">
        <v>91.025810640000003</v>
      </c>
      <c r="J414">
        <v>61.804377989999999</v>
      </c>
      <c r="K414" t="s">
        <v>1</v>
      </c>
      <c r="L414">
        <v>13.68</v>
      </c>
      <c r="M414">
        <v>1</v>
      </c>
      <c r="N414">
        <f>LN(1+Table1[[#This Row],[Redness]])</f>
        <v>5.0663926477614618</v>
      </c>
      <c r="O414">
        <f>LN(1+Table1[[#This Row],[Greeness]])</f>
        <v>4.3425011394392605</v>
      </c>
      <c r="P414">
        <f>LN(1+Table1[[#This Row],[Blueness]])</f>
        <v>2.7175665684999264</v>
      </c>
      <c r="Q414">
        <f>LN(1+Table1[[#This Row],[L* lab]])</f>
        <v>3.7582725485010173</v>
      </c>
      <c r="R414">
        <f>LN(1+Table1[[#This Row],[a* lab]]+128)</f>
        <v>5.0719840810614114</v>
      </c>
      <c r="S414">
        <f>LN(1+Table1[[#This Row],[b* lab]]+128)</f>
        <v>5.1734184932517282</v>
      </c>
      <c r="T414">
        <f>LN(1+Table1[[#This Row],[Hue]])</f>
        <v>3.2894840782296892</v>
      </c>
      <c r="U414">
        <f>LN(1+Table1[[#This Row],[Saturation]])</f>
        <v>4.5220690881369086</v>
      </c>
      <c r="V414">
        <f>LN(1+Table1[[#This Row],[Value]])</f>
        <v>4.1400247842608602</v>
      </c>
      <c r="W414" t="s">
        <v>26</v>
      </c>
    </row>
    <row r="415" spans="1:23" x14ac:dyDescent="0.3">
      <c r="A415">
        <v>600</v>
      </c>
      <c r="B415">
        <v>160.11106666371799</v>
      </c>
      <c r="C415">
        <v>78.434515705489005</v>
      </c>
      <c r="D415">
        <v>17.365702385212298</v>
      </c>
      <c r="E415">
        <v>42.823076372344197</v>
      </c>
      <c r="F415">
        <v>30.254512648376299</v>
      </c>
      <c r="G415">
        <v>47.364706231420797</v>
      </c>
      <c r="H415">
        <v>25.668986294137198</v>
      </c>
      <c r="I415">
        <v>89.153964965029203</v>
      </c>
      <c r="J415">
        <v>62.788653593615102</v>
      </c>
      <c r="K415" t="s">
        <v>1</v>
      </c>
      <c r="L415">
        <v>13.68</v>
      </c>
      <c r="M415">
        <v>1</v>
      </c>
      <c r="N415">
        <f>LN(1+Table1[[#This Row],[Redness]])</f>
        <v>5.0820939821979918</v>
      </c>
      <c r="O415">
        <f>LN(1+Table1[[#This Row],[Greeness]])</f>
        <v>4.3749329804137904</v>
      </c>
      <c r="P415">
        <f>LN(1+Table1[[#This Row],[Blueness]])</f>
        <v>2.9104849243999169</v>
      </c>
      <c r="Q415">
        <f>LN(1+Table1[[#This Row],[L* lab]])</f>
        <v>3.7801605364576276</v>
      </c>
      <c r="R415">
        <f>LN(1+Table1[[#This Row],[a* lab]]+128)</f>
        <v>5.0705036309322749</v>
      </c>
      <c r="S415">
        <f>LN(1+Table1[[#This Row],[b* lab]]+128)</f>
        <v>5.1725540455012373</v>
      </c>
      <c r="T415">
        <f>LN(1+Table1[[#This Row],[Hue]])</f>
        <v>3.2835013282528513</v>
      </c>
      <c r="U415">
        <f>LN(1+Table1[[#This Row],[Saturation]])</f>
        <v>4.5015189305460375</v>
      </c>
      <c r="V415">
        <f>LN(1+Table1[[#This Row],[Value]])</f>
        <v>4.1555753311744734</v>
      </c>
    </row>
    <row r="416" spans="1:23" x14ac:dyDescent="0.3">
      <c r="A416">
        <v>600</v>
      </c>
      <c r="B416">
        <v>159.35177777484299</v>
      </c>
      <c r="C416">
        <v>77.692204761209297</v>
      </c>
      <c r="D416">
        <v>16.883135347796699</v>
      </c>
      <c r="E416">
        <v>42.544988847272201</v>
      </c>
      <c r="F416">
        <v>30.323075455273099</v>
      </c>
      <c r="G416">
        <v>47.2477158131111</v>
      </c>
      <c r="H416">
        <v>25.609454141272099</v>
      </c>
      <c r="I416">
        <v>89.405116413792499</v>
      </c>
      <c r="J416">
        <v>62.490893245036702</v>
      </c>
      <c r="K416" t="s">
        <v>1</v>
      </c>
      <c r="L416">
        <v>13.68</v>
      </c>
      <c r="M416">
        <v>1</v>
      </c>
      <c r="N416">
        <f>LN(1+Table1[[#This Row],[Redness]])</f>
        <v>5.0773700129180108</v>
      </c>
      <c r="O416">
        <f>LN(1+Table1[[#This Row],[Greeness]])</f>
        <v>4.3655441004694113</v>
      </c>
      <c r="P416">
        <f>LN(1+Table1[[#This Row],[Blueness]])</f>
        <v>2.88385810939466</v>
      </c>
      <c r="Q416">
        <f>LN(1+Table1[[#This Row],[L* lab]])</f>
        <v>3.7737946300250744</v>
      </c>
      <c r="R416">
        <f>LN(1+Table1[[#This Row],[a* lab]]+128)</f>
        <v>5.0709340617630403</v>
      </c>
      <c r="S416">
        <f>LN(1+Table1[[#This Row],[b* lab]]+128)</f>
        <v>5.1718904816827864</v>
      </c>
      <c r="T416">
        <f>LN(1+Table1[[#This Row],[Hue]])</f>
        <v>3.2812665714861535</v>
      </c>
      <c r="U416">
        <f>LN(1+Table1[[#This Row],[Saturation]])</f>
        <v>4.5043008632942572</v>
      </c>
      <c r="V416">
        <f>LN(1+Table1[[#This Row],[Value]])</f>
        <v>4.150896482149963</v>
      </c>
    </row>
    <row r="417" spans="1:23" x14ac:dyDescent="0.3">
      <c r="A417">
        <v>600</v>
      </c>
      <c r="B417">
        <v>159.55816669999999</v>
      </c>
      <c r="C417">
        <v>76.731438310000001</v>
      </c>
      <c r="D417">
        <v>15.22533891</v>
      </c>
      <c r="E417">
        <v>42.370303460000002</v>
      </c>
      <c r="F417">
        <v>30.878252270000001</v>
      </c>
      <c r="G417">
        <v>47.672871520000001</v>
      </c>
      <c r="H417">
        <v>25.568444970000002</v>
      </c>
      <c r="I417">
        <v>90.457812829999995</v>
      </c>
      <c r="J417">
        <v>62.571830060000003</v>
      </c>
      <c r="K417" t="s">
        <v>1</v>
      </c>
      <c r="L417">
        <v>13.68</v>
      </c>
      <c r="M417">
        <v>1</v>
      </c>
      <c r="N417">
        <f>LN(1+Table1[[#This Row],[Redness]])</f>
        <v>5.0786562862614604</v>
      </c>
      <c r="O417">
        <f>LN(1+Table1[[#This Row],[Greeness]])</f>
        <v>4.353259786994772</v>
      </c>
      <c r="P417">
        <f>LN(1+Table1[[#This Row],[Blueness]])</f>
        <v>2.7865741505075925</v>
      </c>
      <c r="Q417">
        <f>LN(1+Table1[[#This Row],[L* lab]])</f>
        <v>3.7697749548253325</v>
      </c>
      <c r="R417">
        <f>LN(1+Table1[[#This Row],[a* lab]]+128)</f>
        <v>5.0744126022722398</v>
      </c>
      <c r="S417">
        <f>LN(1+Table1[[#This Row],[b* lab]]+128)</f>
        <v>5.1742998390726225</v>
      </c>
      <c r="T417">
        <f>LN(1+Table1[[#This Row],[Hue]])</f>
        <v>3.279724232278066</v>
      </c>
      <c r="U417">
        <f>LN(1+Table1[[#This Row],[Saturation]])</f>
        <v>4.5158778039925114</v>
      </c>
      <c r="V417">
        <f>LN(1+Table1[[#This Row],[Value]])</f>
        <v>4.1521704486415461</v>
      </c>
      <c r="W417" t="s">
        <v>26</v>
      </c>
    </row>
    <row r="418" spans="1:23" x14ac:dyDescent="0.3">
      <c r="A418">
        <v>900</v>
      </c>
      <c r="B418">
        <v>152.83187219999999</v>
      </c>
      <c r="C418">
        <v>75.493810809999999</v>
      </c>
      <c r="D418">
        <v>15.035804239999999</v>
      </c>
      <c r="E418">
        <v>41.046317289999998</v>
      </c>
      <c r="F418">
        <v>28.708462780000001</v>
      </c>
      <c r="G418">
        <v>46.283025250000001</v>
      </c>
      <c r="H418">
        <v>26.324992049999999</v>
      </c>
      <c r="I418">
        <v>90.161866090000004</v>
      </c>
      <c r="J418">
        <v>59.934067540000001</v>
      </c>
      <c r="K418" t="s">
        <v>1</v>
      </c>
      <c r="L418" s="3">
        <v>20.52</v>
      </c>
      <c r="M418">
        <v>2</v>
      </c>
      <c r="N418">
        <f>LN(1+Table1[[#This Row],[Redness]])</f>
        <v>5.0358602670715094</v>
      </c>
      <c r="O418">
        <f>LN(1+Table1[[#This Row],[Greeness]])</f>
        <v>4.3372098331151046</v>
      </c>
      <c r="P418">
        <f>LN(1+Table1[[#This Row],[Blueness]])</f>
        <v>2.7748239871726974</v>
      </c>
      <c r="Q418">
        <f>LN(1+Table1[[#This Row],[L* lab]])</f>
        <v>3.7387718032733206</v>
      </c>
      <c r="R418">
        <f>LN(1+Table1[[#This Row],[a* lab]]+128)</f>
        <v>5.0607481563211527</v>
      </c>
      <c r="S418">
        <f>LN(1+Table1[[#This Row],[b* lab]]+128)</f>
        <v>5.1664019546658801</v>
      </c>
      <c r="T418">
        <f>LN(1+Table1[[#This Row],[Hue]])</f>
        <v>3.3078017431201996</v>
      </c>
      <c r="U418">
        <f>LN(1+Table1[[#This Row],[Saturation]])</f>
        <v>4.5126366746594098</v>
      </c>
      <c r="V418">
        <f>LN(1+Table1[[#This Row],[Value]])</f>
        <v>4.1097924196228917</v>
      </c>
      <c r="W418" t="s">
        <v>26</v>
      </c>
    </row>
    <row r="419" spans="1:23" x14ac:dyDescent="0.3">
      <c r="A419">
        <v>900</v>
      </c>
      <c r="B419">
        <v>151.12153333054999</v>
      </c>
      <c r="C419">
        <v>72.962050268737102</v>
      </c>
      <c r="D419">
        <v>16.858580338755299</v>
      </c>
      <c r="E419">
        <v>40.237775337438201</v>
      </c>
      <c r="F419">
        <v>29.3997173305507</v>
      </c>
      <c r="G419">
        <v>44.8913725505043</v>
      </c>
      <c r="H419">
        <v>25.071757478807999</v>
      </c>
      <c r="I419">
        <v>88.844355951656297</v>
      </c>
      <c r="J419">
        <v>59.263346404137501</v>
      </c>
      <c r="K419" t="s">
        <v>1</v>
      </c>
      <c r="L419">
        <v>20.52</v>
      </c>
      <c r="M419">
        <v>2</v>
      </c>
      <c r="N419">
        <f>LN(1+Table1[[#This Row],[Redness]])</f>
        <v>5.0246797627525535</v>
      </c>
      <c r="O419">
        <f>LN(1+Table1[[#This Row],[Greeness]])</f>
        <v>4.3035521274534769</v>
      </c>
      <c r="P419">
        <f>LN(1+Table1[[#This Row],[Blueness]])</f>
        <v>2.8824840839774164</v>
      </c>
      <c r="Q419">
        <f>LN(1+Table1[[#This Row],[L* lab]])</f>
        <v>3.7193547134026903</v>
      </c>
      <c r="R419">
        <f>LN(1+Table1[[#This Row],[a* lab]]+128)</f>
        <v>5.0651216948493811</v>
      </c>
      <c r="S419">
        <f>LN(1+Table1[[#This Row],[b* lab]]+128)</f>
        <v>5.1584308085740762</v>
      </c>
      <c r="T419">
        <f>LN(1+Table1[[#This Row],[Hue]])</f>
        <v>3.2608526395131689</v>
      </c>
      <c r="U419">
        <f>LN(1+Table1[[#This Row],[Saturation]])</f>
        <v>4.4980787949143721</v>
      </c>
      <c r="V419">
        <f>LN(1+Table1[[#This Row],[Value]])</f>
        <v>4.0987240649205985</v>
      </c>
    </row>
    <row r="420" spans="1:23" x14ac:dyDescent="0.3">
      <c r="A420">
        <v>900</v>
      </c>
      <c r="B420">
        <v>147.23511110000001</v>
      </c>
      <c r="C420">
        <v>69.651717680000004</v>
      </c>
      <c r="D420">
        <v>14.69033971</v>
      </c>
      <c r="E420">
        <v>38.895621480000003</v>
      </c>
      <c r="F420">
        <v>29.498502599999998</v>
      </c>
      <c r="G420">
        <v>44.324288760000002</v>
      </c>
      <c r="H420">
        <v>24.879764349999999</v>
      </c>
      <c r="I420">
        <v>90.022529550000002</v>
      </c>
      <c r="J420">
        <v>57.739259259999997</v>
      </c>
      <c r="K420" t="s">
        <v>1</v>
      </c>
      <c r="L420" s="3">
        <v>20.52</v>
      </c>
      <c r="M420">
        <v>2</v>
      </c>
      <c r="N420">
        <f>LN(1+Table1[[#This Row],[Redness]])</f>
        <v>4.9987996018056338</v>
      </c>
      <c r="O420">
        <f>LN(1+Table1[[#This Row],[Greeness]])</f>
        <v>4.257762421361531</v>
      </c>
      <c r="P420">
        <f>LN(1+Table1[[#This Row],[Blueness]])</f>
        <v>2.7530452178808531</v>
      </c>
      <c r="Q420">
        <f>LN(1+Table1[[#This Row],[L* lab]])</f>
        <v>3.6862665805308765</v>
      </c>
      <c r="R420">
        <f>LN(1+Table1[[#This Row],[a* lab]]+128)</f>
        <v>5.0657451459540974</v>
      </c>
      <c r="S420">
        <f>LN(1+Table1[[#This Row],[b* lab]]+128)</f>
        <v>5.1551643413151584</v>
      </c>
      <c r="T420">
        <f>LN(1+Table1[[#This Row],[Hue]])</f>
        <v>3.2534613641043819</v>
      </c>
      <c r="U420">
        <f>LN(1+Table1[[#This Row],[Saturation]])</f>
        <v>4.5111070533471329</v>
      </c>
      <c r="V420">
        <f>LN(1+Table1[[#This Row],[Value]])</f>
        <v>4.0731083152040695</v>
      </c>
      <c r="W420" t="s">
        <v>26</v>
      </c>
    </row>
    <row r="421" spans="1:23" x14ac:dyDescent="0.3">
      <c r="A421">
        <v>900</v>
      </c>
      <c r="B421">
        <v>147.36117780000001</v>
      </c>
      <c r="C421">
        <v>68.208006889999993</v>
      </c>
      <c r="D421">
        <v>12.22183909</v>
      </c>
      <c r="E421">
        <v>38.595129309999997</v>
      </c>
      <c r="F421">
        <v>30.273300720000002</v>
      </c>
      <c r="G421">
        <v>44.952627479999997</v>
      </c>
      <c r="H421">
        <v>24.857085290000001</v>
      </c>
      <c r="I421">
        <v>91.706201539999995</v>
      </c>
      <c r="J421">
        <v>57.788697169999999</v>
      </c>
      <c r="K421" t="s">
        <v>1</v>
      </c>
      <c r="L421" s="3">
        <v>20.52</v>
      </c>
      <c r="M421">
        <v>2</v>
      </c>
      <c r="N421">
        <f>LN(1+Table1[[#This Row],[Redness]])</f>
        <v>4.9996496913873978</v>
      </c>
      <c r="O421">
        <f>LN(1+Table1[[#This Row],[Greeness]])</f>
        <v>4.2371165624330329</v>
      </c>
      <c r="P421">
        <f>LN(1+Table1[[#This Row],[Blueness]])</f>
        <v>2.5818699389689317</v>
      </c>
      <c r="Q421">
        <f>LN(1+Table1[[#This Row],[L* lab]])</f>
        <v>3.6787061134734338</v>
      </c>
      <c r="R421">
        <f>LN(1+Table1[[#This Row],[a* lab]]+128)</f>
        <v>5.0706215991024441</v>
      </c>
      <c r="S421">
        <f>LN(1+Table1[[#This Row],[b* lab]]+128)</f>
        <v>5.1587830062841045</v>
      </c>
      <c r="T421">
        <f>LN(1+Table1[[#This Row],[Hue]])</f>
        <v>3.2525846558544429</v>
      </c>
      <c r="U421">
        <f>LN(1+Table1[[#This Row],[Saturation]])</f>
        <v>4.5294353693632949</v>
      </c>
      <c r="V421">
        <f>LN(1+Table1[[#This Row],[Value]])</f>
        <v>4.073949611426988</v>
      </c>
      <c r="W421" t="s">
        <v>26</v>
      </c>
    </row>
    <row r="422" spans="1:23" x14ac:dyDescent="0.3">
      <c r="A422">
        <v>900</v>
      </c>
      <c r="B422">
        <v>147.84071110838801</v>
      </c>
      <c r="C422">
        <v>67.981140277065606</v>
      </c>
      <c r="D422">
        <v>15.6314743167842</v>
      </c>
      <c r="E422">
        <v>38.641309858321897</v>
      </c>
      <c r="F422">
        <v>30.6726544656944</v>
      </c>
      <c r="G422">
        <v>43.835009704667698</v>
      </c>
      <c r="H422">
        <v>23.757643821572401</v>
      </c>
      <c r="I422">
        <v>89.426813359058997</v>
      </c>
      <c r="J422">
        <v>57.976749454270099</v>
      </c>
      <c r="K422" t="s">
        <v>1</v>
      </c>
      <c r="L422">
        <v>20.52</v>
      </c>
      <c r="M422">
        <v>2</v>
      </c>
      <c r="N422">
        <f>LN(1+Table1[[#This Row],[Redness]])</f>
        <v>5.0028766811369092</v>
      </c>
      <c r="O422">
        <f>LN(1+Table1[[#This Row],[Greeness]])</f>
        <v>4.2338331379181033</v>
      </c>
      <c r="P422">
        <f>LN(1+Table1[[#This Row],[Blueness]])</f>
        <v>2.8112969433212518</v>
      </c>
      <c r="Q422">
        <f>LN(1+Table1[[#This Row],[L* lab]])</f>
        <v>3.6798717527685731</v>
      </c>
      <c r="R422">
        <f>LN(1+Table1[[#This Row],[a* lab]]+128)</f>
        <v>5.0731258099124528</v>
      </c>
      <c r="S422">
        <f>LN(1+Table1[[#This Row],[b* lab]]+128)</f>
        <v>5.1523374383064171</v>
      </c>
      <c r="T422">
        <f>LN(1+Table1[[#This Row],[Hue]])</f>
        <v>3.2091342826087024</v>
      </c>
      <c r="U422">
        <f>LN(1+Table1[[#This Row],[Saturation]])</f>
        <v>4.5045408313728803</v>
      </c>
      <c r="V422">
        <f>LN(1+Table1[[#This Row],[Value]])</f>
        <v>4.0771432891906851</v>
      </c>
    </row>
    <row r="423" spans="1:23" x14ac:dyDescent="0.3">
      <c r="A423">
        <v>900</v>
      </c>
      <c r="B423">
        <v>143.6379556</v>
      </c>
      <c r="C423">
        <v>64.367229980000005</v>
      </c>
      <c r="D423">
        <v>13.513832560000001</v>
      </c>
      <c r="E423">
        <v>37.185377840000001</v>
      </c>
      <c r="F423">
        <v>30.79549596</v>
      </c>
      <c r="G423">
        <v>43.157473570000001</v>
      </c>
      <c r="H423">
        <v>23.448410450000001</v>
      </c>
      <c r="I423">
        <v>90.591739829999995</v>
      </c>
      <c r="J423">
        <v>56.328610019999999</v>
      </c>
      <c r="K423" t="s">
        <v>1</v>
      </c>
      <c r="L423" s="3">
        <v>20.52</v>
      </c>
      <c r="M423">
        <v>2</v>
      </c>
      <c r="N423">
        <f>LN(1+Table1[[#This Row],[Redness]])</f>
        <v>4.9742337621413197</v>
      </c>
      <c r="O423">
        <f>LN(1+Table1[[#This Row],[Greeness]])</f>
        <v>4.1800210622431067</v>
      </c>
      <c r="P423">
        <f>LN(1+Table1[[#This Row],[Blueness]])</f>
        <v>2.675102164341832</v>
      </c>
      <c r="Q423">
        <f>LN(1+Table1[[#This Row],[L* lab]])</f>
        <v>3.6424526632763343</v>
      </c>
      <c r="R423">
        <f>LN(1+Table1[[#This Row],[a* lab]]+128)</f>
        <v>5.0738948474531043</v>
      </c>
      <c r="S423">
        <f>LN(1+Table1[[#This Row],[b* lab]]+128)</f>
        <v>5.1484096019702958</v>
      </c>
      <c r="T423">
        <f>LN(1+Table1[[#This Row],[Hue]])</f>
        <v>3.1965652015375534</v>
      </c>
      <c r="U423">
        <f>LN(1+Table1[[#This Row],[Saturation]])</f>
        <v>4.5173410910855525</v>
      </c>
      <c r="V423">
        <f>LN(1+Table1[[#This Row],[Value]])</f>
        <v>4.0487998013795536</v>
      </c>
      <c r="W423" t="s">
        <v>26</v>
      </c>
    </row>
    <row r="424" spans="1:23" x14ac:dyDescent="0.3">
      <c r="A424">
        <v>900</v>
      </c>
      <c r="B424">
        <v>146.806911108408</v>
      </c>
      <c r="C424">
        <v>66.634096135363905</v>
      </c>
      <c r="D424">
        <v>18.1609069087854</v>
      </c>
      <c r="E424">
        <v>38.2050073743479</v>
      </c>
      <c r="F424">
        <v>31.019944929043699</v>
      </c>
      <c r="G424">
        <v>42.443764100959001</v>
      </c>
      <c r="H424">
        <v>22.6077084297286</v>
      </c>
      <c r="I424">
        <v>87.629392395992298</v>
      </c>
      <c r="J424">
        <v>57.571337689571699</v>
      </c>
      <c r="K424" t="s">
        <v>1</v>
      </c>
      <c r="L424">
        <v>20.52</v>
      </c>
      <c r="M424">
        <v>2</v>
      </c>
      <c r="N424">
        <f>LN(1+Table1[[#This Row],[Redness]])</f>
        <v>4.9959067672883357</v>
      </c>
      <c r="O424">
        <f>LN(1+Table1[[#This Row],[Greeness]])</f>
        <v>4.2141122365923778</v>
      </c>
      <c r="P424">
        <f>LN(1+Table1[[#This Row],[Blueness]])</f>
        <v>2.9528721048664366</v>
      </c>
      <c r="Q424">
        <f>LN(1+Table1[[#This Row],[L* lab]])</f>
        <v>3.6688044777799953</v>
      </c>
      <c r="R424">
        <f>LN(1+Table1[[#This Row],[a* lab]]+128)</f>
        <v>5.0752984632714604</v>
      </c>
      <c r="S424">
        <f>LN(1+Table1[[#This Row],[b* lab]]+128)</f>
        <v>5.1442553067161718</v>
      </c>
      <c r="T424">
        <f>LN(1+Table1[[#This Row],[Hue]])</f>
        <v>3.161573287078459</v>
      </c>
      <c r="U424">
        <f>LN(1+Table1[[#This Row],[Saturation]])</f>
        <v>4.4844635452150428</v>
      </c>
      <c r="V424">
        <f>LN(1+Table1[[#This Row],[Value]])</f>
        <v>4.0702454590003772</v>
      </c>
    </row>
    <row r="425" spans="1:23" x14ac:dyDescent="0.3">
      <c r="A425">
        <v>900</v>
      </c>
      <c r="B425">
        <v>145.21722221954801</v>
      </c>
      <c r="C425">
        <v>64.234585563533301</v>
      </c>
      <c r="D425">
        <v>17.2621269126854</v>
      </c>
      <c r="E425">
        <v>37.439295529918603</v>
      </c>
      <c r="F425">
        <v>31.609466788109302</v>
      </c>
      <c r="G425">
        <v>42.0568269499175</v>
      </c>
      <c r="H425">
        <v>22.026067131534599</v>
      </c>
      <c r="I425">
        <v>88.1128927761836</v>
      </c>
      <c r="J425">
        <v>56.947930282175797</v>
      </c>
      <c r="K425" t="s">
        <v>1</v>
      </c>
      <c r="L425">
        <v>20.52</v>
      </c>
      <c r="M425">
        <v>2</v>
      </c>
      <c r="N425">
        <f>LN(1+Table1[[#This Row],[Redness]])</f>
        <v>4.9850933394172321</v>
      </c>
      <c r="O425">
        <f>LN(1+Table1[[#This Row],[Greeness]])</f>
        <v>4.1779897817203455</v>
      </c>
      <c r="P425">
        <f>LN(1+Table1[[#This Row],[Blueness]])</f>
        <v>2.904829347720181</v>
      </c>
      <c r="Q425">
        <f>LN(1+Table1[[#This Row],[L* lab]])</f>
        <v>3.6490802574492118</v>
      </c>
      <c r="R425">
        <f>LN(1+Table1[[#This Row],[a* lab]]+128)</f>
        <v>5.0789757461521621</v>
      </c>
      <c r="S425">
        <f>LN(1+Table1[[#This Row],[b* lab]]+128)</f>
        <v>5.1419958226406992</v>
      </c>
      <c r="T425">
        <f>LN(1+Table1[[#This Row],[Hue]])</f>
        <v>3.1366269277138517</v>
      </c>
      <c r="U425">
        <f>LN(1+Table1[[#This Row],[Saturation]])</f>
        <v>4.4899040240781192</v>
      </c>
      <c r="V425">
        <f>LN(1+Table1[[#This Row],[Value]])</f>
        <v>4.0595448535685792</v>
      </c>
    </row>
    <row r="426" spans="1:23" x14ac:dyDescent="0.3">
      <c r="A426">
        <v>900</v>
      </c>
      <c r="B426">
        <v>136.568666664152</v>
      </c>
      <c r="C426">
        <v>55.570787510687303</v>
      </c>
      <c r="D426">
        <v>9.0861533275322195</v>
      </c>
      <c r="E426">
        <v>34.170477233862897</v>
      </c>
      <c r="F426">
        <v>32.402920881309903</v>
      </c>
      <c r="G426">
        <v>41.926067114234499</v>
      </c>
      <c r="H426">
        <v>21.878122559638399</v>
      </c>
      <c r="I426">
        <v>93.346824312287694</v>
      </c>
      <c r="J426">
        <v>53.556339868294899</v>
      </c>
      <c r="K426" t="s">
        <v>1</v>
      </c>
      <c r="L426">
        <v>20.52</v>
      </c>
      <c r="M426">
        <v>2</v>
      </c>
      <c r="N426">
        <f>LN(1+Table1[[#This Row],[Redness]])</f>
        <v>4.9241231863720873</v>
      </c>
      <c r="O426">
        <f>LN(1+Table1[[#This Row],[Greeness]])</f>
        <v>4.0354927302531705</v>
      </c>
      <c r="P426">
        <f>LN(1+Table1[[#This Row],[Blueness]])</f>
        <v>2.3111635255548695</v>
      </c>
      <c r="Q426">
        <f>LN(1+Table1[[#This Row],[L* lab]])</f>
        <v>3.5602070157388068</v>
      </c>
      <c r="R426">
        <f>LN(1+Table1[[#This Row],[a* lab]]+128)</f>
        <v>5.0839038528301508</v>
      </c>
      <c r="S426">
        <f>LN(1+Table1[[#This Row],[b* lab]]+128)</f>
        <v>5.1412311069527226</v>
      </c>
      <c r="T426">
        <f>LN(1+Table1[[#This Row],[Hue]])</f>
        <v>3.1301811071849626</v>
      </c>
      <c r="U426">
        <f>LN(1+Table1[[#This Row],[Saturation]])</f>
        <v>4.5469776126607906</v>
      </c>
      <c r="V426">
        <f>LN(1+Table1[[#This Row],[Value]])</f>
        <v>3.9992339267595525</v>
      </c>
    </row>
    <row r="427" spans="1:23" x14ac:dyDescent="0.3">
      <c r="A427">
        <v>900</v>
      </c>
      <c r="B427">
        <v>137.52086666413399</v>
      </c>
      <c r="C427">
        <v>56.535787293807402</v>
      </c>
      <c r="D427">
        <v>10.1016196154663</v>
      </c>
      <c r="E427">
        <v>34.532679804646797</v>
      </c>
      <c r="F427">
        <v>32.313985276722001</v>
      </c>
      <c r="G427">
        <v>41.900382160444401</v>
      </c>
      <c r="H427">
        <v>21.865221504851</v>
      </c>
      <c r="I427">
        <v>92.654482290213096</v>
      </c>
      <c r="J427">
        <v>53.929751632993899</v>
      </c>
      <c r="K427" t="s">
        <v>1</v>
      </c>
      <c r="L427">
        <v>20.52</v>
      </c>
      <c r="M427">
        <v>2</v>
      </c>
      <c r="N427">
        <f>LN(1+Table1[[#This Row],[Redness]])</f>
        <v>4.931020976113941</v>
      </c>
      <c r="O427">
        <f>LN(1+Table1[[#This Row],[Greeness]])</f>
        <v>4.0524071419187848</v>
      </c>
      <c r="P427">
        <f>LN(1+Table1[[#This Row],[Blueness]])</f>
        <v>2.4070910089775399</v>
      </c>
      <c r="Q427">
        <f>LN(1+Table1[[#This Row],[L* lab]])</f>
        <v>3.5704528309051975</v>
      </c>
      <c r="R427">
        <f>LN(1+Table1[[#This Row],[a* lab]]+128)</f>
        <v>5.0833526848860968</v>
      </c>
      <c r="S427">
        <f>LN(1+Table1[[#This Row],[b* lab]]+128)</f>
        <v>5.1410808262831429</v>
      </c>
      <c r="T427">
        <f>LN(1+Table1[[#This Row],[Hue]])</f>
        <v>3.1296170445702458</v>
      </c>
      <c r="U427">
        <f>LN(1+Table1[[#This Row],[Saturation]])</f>
        <v>4.5396122898933067</v>
      </c>
      <c r="V427">
        <f>LN(1+Table1[[#This Row],[Value]])</f>
        <v>4.0060551258258998</v>
      </c>
    </row>
    <row r="428" spans="1:23" x14ac:dyDescent="0.3">
      <c r="A428">
        <v>900</v>
      </c>
      <c r="B428">
        <v>135.019733330847</v>
      </c>
      <c r="C428">
        <v>54.7656765805216</v>
      </c>
      <c r="D428">
        <v>10.6806511725642</v>
      </c>
      <c r="E428">
        <v>33.748581067348098</v>
      </c>
      <c r="F428">
        <v>32.218405636126398</v>
      </c>
      <c r="G428">
        <v>40.908413246490497</v>
      </c>
      <c r="H428">
        <v>21.273291378411798</v>
      </c>
      <c r="I428">
        <v>92.089562829758506</v>
      </c>
      <c r="J428">
        <v>52.9489150317048</v>
      </c>
      <c r="K428" t="s">
        <v>1</v>
      </c>
      <c r="L428">
        <v>20.52</v>
      </c>
      <c r="M428">
        <v>2</v>
      </c>
      <c r="N428">
        <f>LN(1+Table1[[#This Row],[Redness]])</f>
        <v>4.9127999732312864</v>
      </c>
      <c r="O428">
        <f>LN(1+Table1[[#This Row],[Greeness]])</f>
        <v>4.0211585650819748</v>
      </c>
      <c r="P428">
        <f>LN(1+Table1[[#This Row],[Blueness]])</f>
        <v>2.4579337269217496</v>
      </c>
      <c r="Q428">
        <f>LN(1+Table1[[#This Row],[L* lab]])</f>
        <v>3.5481387385828289</v>
      </c>
      <c r="R428">
        <f>LN(1+Table1[[#This Row],[a* lab]]+128)</f>
        <v>5.082760002438774</v>
      </c>
      <c r="S428">
        <f>LN(1+Table1[[#This Row],[b* lab]]+128)</f>
        <v>5.1352595462658224</v>
      </c>
      <c r="T428">
        <f>LN(1+Table1[[#This Row],[Hue]])</f>
        <v>3.1033882646196278</v>
      </c>
      <c r="U428">
        <f>LN(1+Table1[[#This Row],[Saturation]])</f>
        <v>4.5335620709068065</v>
      </c>
      <c r="V428">
        <f>LN(1+Table1[[#This Row],[Value]])</f>
        <v>3.9880375808755053</v>
      </c>
    </row>
    <row r="429" spans="1:23" x14ac:dyDescent="0.3">
      <c r="A429">
        <v>900</v>
      </c>
      <c r="B429">
        <v>135.07644444195699</v>
      </c>
      <c r="C429">
        <v>54.871098779050598</v>
      </c>
      <c r="D429">
        <v>10.893090888796101</v>
      </c>
      <c r="E429">
        <v>33.780889639750001</v>
      </c>
      <c r="F429">
        <v>32.190699237601002</v>
      </c>
      <c r="G429">
        <v>40.8605730441136</v>
      </c>
      <c r="H429">
        <v>21.2482623307937</v>
      </c>
      <c r="I429">
        <v>91.935610288086195</v>
      </c>
      <c r="J429">
        <v>52.971154683120503</v>
      </c>
      <c r="K429" t="s">
        <v>1</v>
      </c>
      <c r="L429">
        <v>20.52</v>
      </c>
      <c r="M429">
        <v>2</v>
      </c>
      <c r="N429">
        <f>LN(1+Table1[[#This Row],[Redness]])</f>
        <v>4.9132168193067836</v>
      </c>
      <c r="O429">
        <f>LN(1+Table1[[#This Row],[Greeness]])</f>
        <v>4.0230472299870064</v>
      </c>
      <c r="P429">
        <f>LN(1+Table1[[#This Row],[Blueness]])</f>
        <v>2.4759576339252822</v>
      </c>
      <c r="Q429">
        <f>LN(1+Table1[[#This Row],[L* lab]])</f>
        <v>3.5490680876602405</v>
      </c>
      <c r="R429">
        <f>LN(1+Table1[[#This Row],[a* lab]]+128)</f>
        <v>5.082588131370775</v>
      </c>
      <c r="S429">
        <f>LN(1+Table1[[#This Row],[b* lab]]+128)</f>
        <v>5.1349779419721795</v>
      </c>
      <c r="T429">
        <f>LN(1+Table1[[#This Row],[Hue]])</f>
        <v>3.1022639080700634</v>
      </c>
      <c r="U429">
        <f>LN(1+Table1[[#This Row],[Saturation]])</f>
        <v>4.531906890865959</v>
      </c>
      <c r="V429">
        <f>LN(1+Table1[[#This Row],[Value]])</f>
        <v>3.988449731308493</v>
      </c>
    </row>
    <row r="430" spans="1:23" x14ac:dyDescent="0.3">
      <c r="A430">
        <v>900</v>
      </c>
      <c r="B430">
        <v>143.370844441804</v>
      </c>
      <c r="C430">
        <v>61.627008371797999</v>
      </c>
      <c r="D430">
        <v>17.042287361149501</v>
      </c>
      <c r="E430">
        <v>36.594746378846501</v>
      </c>
      <c r="F430">
        <v>32.213794018644599</v>
      </c>
      <c r="G430">
        <v>41.3208736412058</v>
      </c>
      <c r="H430">
        <v>21.175602116083599</v>
      </c>
      <c r="I430">
        <v>88.113142928395504</v>
      </c>
      <c r="J430">
        <v>56.223860565413503</v>
      </c>
      <c r="K430" t="s">
        <v>1</v>
      </c>
      <c r="L430">
        <v>20.52</v>
      </c>
      <c r="M430">
        <v>2</v>
      </c>
      <c r="N430">
        <f>LN(1+Table1[[#This Row],[Redness]])</f>
        <v>4.9723852977747454</v>
      </c>
      <c r="O430">
        <f>LN(1+Table1[[#This Row],[Greeness]])</f>
        <v>4.1371966286999529</v>
      </c>
      <c r="P430">
        <f>LN(1+Table1[[#This Row],[Blueness]])</f>
        <v>2.8927183004521102</v>
      </c>
      <c r="Q430">
        <f>LN(1+Table1[[#This Row],[L* lab]])</f>
        <v>3.6268643166666976</v>
      </c>
      <c r="R430">
        <f>LN(1+Table1[[#This Row],[a* lab]]+128)</f>
        <v>5.0827313972468167</v>
      </c>
      <c r="S430">
        <f>LN(1+Table1[[#This Row],[b* lab]]+128)</f>
        <v>5.1376841499826238</v>
      </c>
      <c r="T430">
        <f>LN(1+Table1[[#This Row],[Hue]])</f>
        <v>3.098992680750734</v>
      </c>
      <c r="U430">
        <f>LN(1+Table1[[#This Row],[Saturation]])</f>
        <v>4.4899068312124522</v>
      </c>
      <c r="V430">
        <f>LN(1+Table1[[#This Row],[Value]])</f>
        <v>4.0469709541578869</v>
      </c>
    </row>
    <row r="431" spans="1:23" x14ac:dyDescent="0.3">
      <c r="A431">
        <v>900</v>
      </c>
      <c r="B431">
        <v>140.949511108515</v>
      </c>
      <c r="C431">
        <v>58.845853441296001</v>
      </c>
      <c r="D431">
        <v>15.202506086434701</v>
      </c>
      <c r="E431">
        <v>35.613194027761097</v>
      </c>
      <c r="F431">
        <v>32.625768188413197</v>
      </c>
      <c r="G431">
        <v>41.056321609504202</v>
      </c>
      <c r="H431">
        <v>20.824359521181801</v>
      </c>
      <c r="I431">
        <v>89.214218646895105</v>
      </c>
      <c r="J431">
        <v>55.2743180817709</v>
      </c>
      <c r="K431" t="s">
        <v>1</v>
      </c>
      <c r="L431">
        <v>20.52</v>
      </c>
      <c r="M431">
        <v>2</v>
      </c>
      <c r="N431">
        <f>LN(1+Table1[[#This Row],[Redness]])</f>
        <v>4.9554714388025527</v>
      </c>
      <c r="O431">
        <f>LN(1+Table1[[#This Row],[Greeness]])</f>
        <v>4.0917721470858091</v>
      </c>
      <c r="P431">
        <f>LN(1+Table1[[#This Row],[Blueness]])</f>
        <v>2.7851659269675388</v>
      </c>
      <c r="Q431">
        <f>LN(1+Table1[[#This Row],[L* lab]])</f>
        <v>3.6004086680072671</v>
      </c>
      <c r="R431">
        <f>LN(1+Table1[[#This Row],[a* lab]]+128)</f>
        <v>5.0852835899866085</v>
      </c>
      <c r="S431">
        <f>LN(1+Table1[[#This Row],[b* lab]]+128)</f>
        <v>5.1361296857666661</v>
      </c>
      <c r="T431">
        <f>LN(1+Table1[[#This Row],[Hue]])</f>
        <v>3.0830267551865518</v>
      </c>
      <c r="U431">
        <f>LN(1+Table1[[#This Row],[Saturation]])</f>
        <v>4.5021870493117824</v>
      </c>
      <c r="V431">
        <f>LN(1+Table1[[#This Row],[Value]])</f>
        <v>4.03023826911424</v>
      </c>
    </row>
    <row r="432" spans="1:23" x14ac:dyDescent="0.3">
      <c r="A432">
        <v>900</v>
      </c>
      <c r="B432">
        <v>139.85017777520201</v>
      </c>
      <c r="C432">
        <v>56.430253984192298</v>
      </c>
      <c r="D432">
        <v>17.260460283112401</v>
      </c>
      <c r="E432">
        <v>34.957028679123702</v>
      </c>
      <c r="F432">
        <v>33.470360354455899</v>
      </c>
      <c r="G432">
        <v>39.608459706306</v>
      </c>
      <c r="H432">
        <v>19.171164353294401</v>
      </c>
      <c r="I432">
        <v>87.657891782692403</v>
      </c>
      <c r="J432">
        <v>54.843206970667701</v>
      </c>
      <c r="K432" t="s">
        <v>1</v>
      </c>
      <c r="L432">
        <v>20.52</v>
      </c>
      <c r="M432">
        <v>2</v>
      </c>
      <c r="N432">
        <f>LN(1+Table1[[#This Row],[Redness]])</f>
        <v>4.9476967564813439</v>
      </c>
      <c r="O432">
        <f>LN(1+Table1[[#This Row],[Greeness]])</f>
        <v>4.0505712373667269</v>
      </c>
      <c r="P432">
        <f>LN(1+Table1[[#This Row],[Blueness]])</f>
        <v>2.9047380820294335</v>
      </c>
      <c r="Q432">
        <f>LN(1+Table1[[#This Row],[L* lab]])</f>
        <v>3.5823245776890436</v>
      </c>
      <c r="R432">
        <f>LN(1+Table1[[#This Row],[a* lab]]+128)</f>
        <v>5.0904955873145541</v>
      </c>
      <c r="S432">
        <f>LN(1+Table1[[#This Row],[b* lab]]+128)</f>
        <v>5.127579220502958</v>
      </c>
      <c r="T432">
        <f>LN(1+Table1[[#This Row],[Hue]])</f>
        <v>3.0042540772853266</v>
      </c>
      <c r="U432">
        <f>LN(1+Table1[[#This Row],[Saturation]])</f>
        <v>4.4847850503593918</v>
      </c>
      <c r="V432">
        <f>LN(1+Table1[[#This Row],[Value]])</f>
        <v>4.0225478882281278</v>
      </c>
    </row>
    <row r="433" spans="1:23" x14ac:dyDescent="0.3">
      <c r="A433">
        <v>900</v>
      </c>
      <c r="B433">
        <v>134.93335555307101</v>
      </c>
      <c r="C433">
        <v>52.954676987536601</v>
      </c>
      <c r="D433">
        <v>14.977999972094601</v>
      </c>
      <c r="E433">
        <v>33.400752806359201</v>
      </c>
      <c r="F433">
        <v>33.2088679726672</v>
      </c>
      <c r="G433">
        <v>38.9363523206802</v>
      </c>
      <c r="H433">
        <v>18.995405498075701</v>
      </c>
      <c r="I433">
        <v>88.899705405900406</v>
      </c>
      <c r="J433">
        <v>52.9150413933612</v>
      </c>
      <c r="K433" t="s">
        <v>1</v>
      </c>
      <c r="L433">
        <v>20.52</v>
      </c>
      <c r="M433">
        <v>2</v>
      </c>
      <c r="N433">
        <f>LN(1+Table1[[#This Row],[Redness]])</f>
        <v>4.9121647329327836</v>
      </c>
      <c r="O433">
        <f>LN(1+Table1[[#This Row],[Greeness]])</f>
        <v>3.9881443790965738</v>
      </c>
      <c r="P433">
        <f>LN(1+Table1[[#This Row],[Blueness]])</f>
        <v>2.7712127743133612</v>
      </c>
      <c r="Q433">
        <f>LN(1+Table1[[#This Row],[L* lab]])</f>
        <v>3.5380784480456944</v>
      </c>
      <c r="R433">
        <f>LN(1+Table1[[#This Row],[a* lab]]+128)</f>
        <v>5.0888848132611919</v>
      </c>
      <c r="S433">
        <f>LN(1+Table1[[#This Row],[b* lab]]+128)</f>
        <v>5.1235850523854376</v>
      </c>
      <c r="T433">
        <f>LN(1+Table1[[#This Row],[Hue]])</f>
        <v>2.9955025220669245</v>
      </c>
      <c r="U433">
        <f>LN(1+Table1[[#This Row],[Saturation]])</f>
        <v>4.4986946645634225</v>
      </c>
      <c r="V433">
        <f>LN(1+Table1[[#This Row],[Value]])</f>
        <v>3.987409500085966</v>
      </c>
    </row>
    <row r="434" spans="1:23" x14ac:dyDescent="0.3">
      <c r="A434">
        <v>1200</v>
      </c>
      <c r="B434">
        <v>130.7424</v>
      </c>
      <c r="C434">
        <v>58.553320169999999</v>
      </c>
      <c r="D434">
        <v>4.4449344039999996</v>
      </c>
      <c r="E434">
        <v>33.771783630000002</v>
      </c>
      <c r="F434">
        <v>28.292142930000001</v>
      </c>
      <c r="G434">
        <v>42.88818199</v>
      </c>
      <c r="H434">
        <v>25.70521214</v>
      </c>
      <c r="I434">
        <v>96.600234959999995</v>
      </c>
      <c r="J434">
        <v>51.271529409999999</v>
      </c>
      <c r="K434" t="s">
        <v>1</v>
      </c>
      <c r="L434" s="3">
        <v>27.36</v>
      </c>
      <c r="M434">
        <v>2</v>
      </c>
      <c r="N434">
        <f>LN(1+Table1[[#This Row],[Redness]])</f>
        <v>4.8808485007481401</v>
      </c>
      <c r="O434">
        <f>LN(1+Table1[[#This Row],[Greeness]])</f>
        <v>4.086872048571192</v>
      </c>
      <c r="P434">
        <f>LN(1+Table1[[#This Row],[Blueness]])</f>
        <v>1.6946857092967471</v>
      </c>
      <c r="Q434">
        <f>LN(1+Table1[[#This Row],[L* lab]])</f>
        <v>3.5488062426620846</v>
      </c>
      <c r="R434">
        <f>LN(1+Table1[[#This Row],[a* lab]]+128)</f>
        <v>5.0581048592299336</v>
      </c>
      <c r="S434">
        <f>LN(1+Table1[[#This Row],[b* lab]]+128)</f>
        <v>5.1468441606944539</v>
      </c>
      <c r="T434">
        <f>LN(1+Table1[[#This Row],[Hue]])</f>
        <v>3.2848587575909249</v>
      </c>
      <c r="U434">
        <f>LN(1+Table1[[#This Row],[Saturation]])</f>
        <v>4.5808799007931986</v>
      </c>
      <c r="V434">
        <f>LN(1+Table1[[#This Row],[Value]])</f>
        <v>3.9564518521016301</v>
      </c>
      <c r="W434" t="s">
        <v>26</v>
      </c>
    </row>
    <row r="435" spans="1:23" x14ac:dyDescent="0.3">
      <c r="A435">
        <v>1200</v>
      </c>
      <c r="B435">
        <v>132.56604440000001</v>
      </c>
      <c r="C435">
        <v>59.959275409999996</v>
      </c>
      <c r="D435">
        <v>6.4235681439999999</v>
      </c>
      <c r="E435">
        <v>34.38737493</v>
      </c>
      <c r="F435">
        <v>28.34359057</v>
      </c>
      <c r="G435">
        <v>42.735973370000004</v>
      </c>
      <c r="H435">
        <v>25.464399700000001</v>
      </c>
      <c r="I435">
        <v>95.154439310000001</v>
      </c>
      <c r="J435">
        <v>51.986684089999997</v>
      </c>
      <c r="K435" t="s">
        <v>1</v>
      </c>
      <c r="L435" s="3">
        <v>27.36</v>
      </c>
      <c r="M435">
        <v>2</v>
      </c>
      <c r="N435">
        <f>LN(1+Table1[[#This Row],[Redness]])</f>
        <v>4.8945960701161191</v>
      </c>
      <c r="O435">
        <f>LN(1+Table1[[#This Row],[Greeness]])</f>
        <v>4.1102060249888499</v>
      </c>
      <c r="P435">
        <f>LN(1+Table1[[#This Row],[Blueness]])</f>
        <v>2.0046598235333235</v>
      </c>
      <c r="Q435">
        <f>LN(1+Table1[[#This Row],[L* lab]])</f>
        <v>3.5663551161329381</v>
      </c>
      <c r="R435">
        <f>LN(1+Table1[[#This Row],[a* lab]]+128)</f>
        <v>5.0584318890932369</v>
      </c>
      <c r="S435">
        <f>LN(1+Table1[[#This Row],[b* lab]]+128)</f>
        <v>5.1459582588881894</v>
      </c>
      <c r="T435">
        <f>LN(1+Table1[[#This Row],[Hue]])</f>
        <v>3.275800422264104</v>
      </c>
      <c r="U435">
        <f>LN(1+Table1[[#This Row],[Saturation]])</f>
        <v>4.5659556416397828</v>
      </c>
      <c r="V435">
        <f>LN(1+Table1[[#This Row],[Value]])</f>
        <v>3.9700406384002593</v>
      </c>
      <c r="W435" t="s">
        <v>26</v>
      </c>
    </row>
    <row r="436" spans="1:23" x14ac:dyDescent="0.3">
      <c r="A436">
        <v>1200</v>
      </c>
      <c r="B436">
        <v>126.12097780000001</v>
      </c>
      <c r="C436">
        <v>52.500299310000003</v>
      </c>
      <c r="D436">
        <v>5.6031586249999998</v>
      </c>
      <c r="E436">
        <v>31.723173190000001</v>
      </c>
      <c r="F436">
        <v>29.597973639999999</v>
      </c>
      <c r="G436">
        <v>40.663964870000001</v>
      </c>
      <c r="H436">
        <v>23.347820769999998</v>
      </c>
      <c r="I436">
        <v>95.557314320000003</v>
      </c>
      <c r="J436">
        <v>49.459206969999997</v>
      </c>
      <c r="K436" t="s">
        <v>1</v>
      </c>
      <c r="L436" s="3">
        <v>27.36</v>
      </c>
      <c r="M436">
        <v>2</v>
      </c>
      <c r="N436">
        <f>LN(1+Table1[[#This Row],[Redness]])</f>
        <v>4.8451392141434972</v>
      </c>
      <c r="O436">
        <f>LN(1+Table1[[#This Row],[Greeness]])</f>
        <v>3.9796872484657504</v>
      </c>
      <c r="P436">
        <f>LN(1+Table1[[#This Row],[Blueness]])</f>
        <v>1.8875481140951682</v>
      </c>
      <c r="Q436">
        <f>LN(1+Table1[[#This Row],[L* lab]])</f>
        <v>3.4880834871667514</v>
      </c>
      <c r="R436">
        <f>LN(1+Table1[[#This Row],[a* lab]]+128)</f>
        <v>5.06637253257436</v>
      </c>
      <c r="S436">
        <f>LN(1+Table1[[#This Row],[b* lab]]+128)</f>
        <v>5.1338198036102396</v>
      </c>
      <c r="T436">
        <f>LN(1+Table1[[#This Row],[Hue]])</f>
        <v>3.1924423494250211</v>
      </c>
      <c r="U436">
        <f>LN(1+Table1[[#This Row],[Saturation]])</f>
        <v>4.5701367628150642</v>
      </c>
      <c r="V436">
        <f>LN(1+Table1[[#This Row],[Value]])</f>
        <v>3.9211652270767305</v>
      </c>
      <c r="W436" t="s">
        <v>26</v>
      </c>
    </row>
    <row r="437" spans="1:23" x14ac:dyDescent="0.3">
      <c r="A437">
        <v>1200</v>
      </c>
      <c r="B437">
        <v>137.67693333079799</v>
      </c>
      <c r="C437">
        <v>58.257186906929697</v>
      </c>
      <c r="D437">
        <v>10.4000796393901</v>
      </c>
      <c r="E437">
        <v>34.9099056427428</v>
      </c>
      <c r="F437">
        <v>31.483668808290702</v>
      </c>
      <c r="G437">
        <v>42.091955475072602</v>
      </c>
      <c r="H437">
        <v>22.560476259213299</v>
      </c>
      <c r="I437">
        <v>92.446026078746399</v>
      </c>
      <c r="J437">
        <v>53.990954247371803</v>
      </c>
      <c r="K437" t="s">
        <v>1</v>
      </c>
      <c r="L437">
        <v>27.36</v>
      </c>
      <c r="M437">
        <v>2</v>
      </c>
      <c r="N437">
        <f>LN(1+Table1[[#This Row],[Redness]])</f>
        <v>4.9321470072956979</v>
      </c>
      <c r="O437">
        <f>LN(1+Table1[[#This Row],[Greeness]])</f>
        <v>4.0818870706664843</v>
      </c>
      <c r="P437">
        <f>LN(1+Table1[[#This Row],[Blueness]])</f>
        <v>2.4336203412874609</v>
      </c>
      <c r="Q437">
        <f>LN(1+Table1[[#This Row],[L* lab]])</f>
        <v>3.5810131806306074</v>
      </c>
      <c r="R437">
        <f>LN(1+Table1[[#This Row],[a* lab]]+128)</f>
        <v>5.0781921854197209</v>
      </c>
      <c r="S437">
        <f>LN(1+Table1[[#This Row],[b* lab]]+128)</f>
        <v>5.1422011632824489</v>
      </c>
      <c r="T437">
        <f>LN(1+Table1[[#This Row],[Hue]])</f>
        <v>3.1595705733164774</v>
      </c>
      <c r="U437">
        <f>LN(1+Table1[[#This Row],[Saturation]])</f>
        <v>4.5373840084253745</v>
      </c>
      <c r="V437">
        <f>LN(1+Table1[[#This Row],[Value]])</f>
        <v>4.0071687034764851</v>
      </c>
    </row>
    <row r="438" spans="1:23" x14ac:dyDescent="0.3">
      <c r="A438">
        <v>1200</v>
      </c>
      <c r="B438">
        <v>125.75786669999999</v>
      </c>
      <c r="C438">
        <v>49.989722100000002</v>
      </c>
      <c r="D438">
        <v>5.1350829320000004</v>
      </c>
      <c r="E438">
        <v>31.13516465</v>
      </c>
      <c r="F438">
        <v>30.761773489999999</v>
      </c>
      <c r="G438">
        <v>40.362182179999998</v>
      </c>
      <c r="H438">
        <v>22.311525790000001</v>
      </c>
      <c r="I438">
        <v>95.916690489999993</v>
      </c>
      <c r="J438">
        <v>49.316810459999999</v>
      </c>
      <c r="K438" t="s">
        <v>1</v>
      </c>
      <c r="L438" s="3">
        <v>27.36</v>
      </c>
      <c r="M438">
        <v>2</v>
      </c>
      <c r="N438">
        <f>LN(1+Table1[[#This Row],[Redness]])</f>
        <v>4.8422787052396394</v>
      </c>
      <c r="O438">
        <f>LN(1+Table1[[#This Row],[Greeness]])</f>
        <v>3.9316240849639601</v>
      </c>
      <c r="P438">
        <f>LN(1+Table1[[#This Row],[Blueness]])</f>
        <v>1.8140235959199202</v>
      </c>
      <c r="Q438">
        <f>LN(1+Table1[[#This Row],[L* lab]])</f>
        <v>3.4699509025070272</v>
      </c>
      <c r="R438">
        <f>LN(1+Table1[[#This Row],[a* lab]]+128)</f>
        <v>5.0736837900098903</v>
      </c>
      <c r="S438">
        <f>LN(1+Table1[[#This Row],[b* lab]]+128)</f>
        <v>5.1320395116042521</v>
      </c>
      <c r="T438">
        <f>LN(1+Table1[[#This Row],[Hue]])</f>
        <v>3.1489479073619417</v>
      </c>
      <c r="U438">
        <f>LN(1+Table1[[#This Row],[Saturation]])</f>
        <v>4.5738517485431878</v>
      </c>
      <c r="V438">
        <f>LN(1+Table1[[#This Row],[Value]])</f>
        <v>3.9183392252481273</v>
      </c>
      <c r="W438" t="s">
        <v>26</v>
      </c>
    </row>
    <row r="439" spans="1:23" x14ac:dyDescent="0.3">
      <c r="A439">
        <v>1200</v>
      </c>
      <c r="B439">
        <v>135.25186666417599</v>
      </c>
      <c r="C439">
        <v>56.077098508006998</v>
      </c>
      <c r="D439">
        <v>10.001866280093401</v>
      </c>
      <c r="E439">
        <v>34.048307811717798</v>
      </c>
      <c r="F439">
        <v>31.61882067134</v>
      </c>
      <c r="G439">
        <v>41.395989435740503</v>
      </c>
      <c r="H439">
        <v>22.0719674666455</v>
      </c>
      <c r="I439">
        <v>92.605006846280602</v>
      </c>
      <c r="J439">
        <v>53.039947711441698</v>
      </c>
      <c r="K439" t="s">
        <v>1</v>
      </c>
      <c r="L439">
        <v>27.36</v>
      </c>
      <c r="M439">
        <v>2</v>
      </c>
      <c r="N439">
        <f>LN(1+Table1[[#This Row],[Redness]])</f>
        <v>4.9145051337370358</v>
      </c>
      <c r="O439">
        <f>LN(1+Table1[[#This Row],[Greeness]])</f>
        <v>4.0444029592915394</v>
      </c>
      <c r="P439">
        <f>LN(1+Table1[[#This Row],[Blueness]])</f>
        <v>2.3980649202341033</v>
      </c>
      <c r="Q439">
        <f>LN(1+Table1[[#This Row],[L* lab]])</f>
        <v>3.556727333048864</v>
      </c>
      <c r="R439">
        <f>LN(1+Table1[[#This Row],[a* lab]]+128)</f>
        <v>5.0790339843808523</v>
      </c>
      <c r="S439">
        <f>LN(1+Table1[[#This Row],[b* lab]]+128)</f>
        <v>5.1381250779430037</v>
      </c>
      <c r="T439">
        <f>LN(1+Table1[[#This Row],[Hue]])</f>
        <v>3.1386183510220325</v>
      </c>
      <c r="U439">
        <f>LN(1+Table1[[#This Row],[Saturation]])</f>
        <v>4.5390838740003456</v>
      </c>
      <c r="V439">
        <f>LN(1+Table1[[#This Row],[Value]])</f>
        <v>3.989723545501628</v>
      </c>
    </row>
    <row r="440" spans="1:23" x14ac:dyDescent="0.3">
      <c r="A440">
        <v>1200</v>
      </c>
      <c r="B440">
        <v>136.573333330818</v>
      </c>
      <c r="C440">
        <v>55.5839875077206</v>
      </c>
      <c r="D440">
        <v>8.6442520516966397</v>
      </c>
      <c r="E440">
        <v>34.1719124530673</v>
      </c>
      <c r="F440">
        <v>32.390390608866099</v>
      </c>
      <c r="G440">
        <v>42.0755435425516</v>
      </c>
      <c r="H440">
        <v>22.015198570968501</v>
      </c>
      <c r="I440">
        <v>93.6706150162141</v>
      </c>
      <c r="J440">
        <v>53.558169933654298</v>
      </c>
      <c r="K440" t="s">
        <v>1</v>
      </c>
      <c r="L440">
        <v>27.36</v>
      </c>
      <c r="M440">
        <v>2</v>
      </c>
      <c r="N440">
        <f>LN(1+Table1[[#This Row],[Redness]])</f>
        <v>4.9241571082500011</v>
      </c>
      <c r="O440">
        <f>LN(1+Table1[[#This Row],[Greeness]])</f>
        <v>4.0357260389596048</v>
      </c>
      <c r="P440">
        <f>LN(1+Table1[[#This Row],[Blueness]])</f>
        <v>2.2663620955743098</v>
      </c>
      <c r="Q440">
        <f>LN(1+Table1[[#This Row],[L* lab]])</f>
        <v>3.5602478224049152</v>
      </c>
      <c r="R440">
        <f>LN(1+Table1[[#This Row],[a* lab]]+128)</f>
        <v>5.0838262163240397</v>
      </c>
      <c r="S440">
        <f>LN(1+Table1[[#This Row],[b* lab]]+128)</f>
        <v>5.1421052340514102</v>
      </c>
      <c r="T440">
        <f>LN(1+Table1[[#This Row],[Hue]])</f>
        <v>3.1361548051254671</v>
      </c>
      <c r="U440">
        <f>LN(1+Table1[[#This Row],[Saturation]])</f>
        <v>4.5504036565410999</v>
      </c>
      <c r="V440">
        <f>LN(1+Table1[[#This Row],[Value]])</f>
        <v>3.9992674707009201</v>
      </c>
    </row>
    <row r="441" spans="1:23" x14ac:dyDescent="0.3">
      <c r="A441">
        <v>1200</v>
      </c>
      <c r="B441">
        <v>133.55839999753999</v>
      </c>
      <c r="C441">
        <v>54.998387639331902</v>
      </c>
      <c r="D441">
        <v>10.663229338094901</v>
      </c>
      <c r="E441">
        <v>33.540520666285403</v>
      </c>
      <c r="F441">
        <v>31.500362455071201</v>
      </c>
      <c r="G441">
        <v>40.643183960652102</v>
      </c>
      <c r="H441">
        <v>21.645354197404799</v>
      </c>
      <c r="I441">
        <v>92.0160548956177</v>
      </c>
      <c r="J441">
        <v>52.375843136290499</v>
      </c>
      <c r="K441" t="s">
        <v>1</v>
      </c>
      <c r="L441">
        <v>27.36</v>
      </c>
      <c r="M441">
        <v>2</v>
      </c>
      <c r="N441">
        <f>LN(1+Table1[[#This Row],[Redness]])</f>
        <v>4.9019983055292409</v>
      </c>
      <c r="O441">
        <f>LN(1+Table1[[#This Row],[Greeness]])</f>
        <v>4.02532289816586</v>
      </c>
      <c r="P441">
        <f>LN(1+Table1[[#This Row],[Blueness]])</f>
        <v>2.4564411012466056</v>
      </c>
      <c r="Q441">
        <f>LN(1+Table1[[#This Row],[L* lab]])</f>
        <v>3.5421331469038568</v>
      </c>
      <c r="R441">
        <f>LN(1+Table1[[#This Row],[a* lab]]+128)</f>
        <v>5.0782962008545685</v>
      </c>
      <c r="S441">
        <f>LN(1+Table1[[#This Row],[b* lab]]+128)</f>
        <v>5.1336973133565236</v>
      </c>
      <c r="T441">
        <f>LN(1+Table1[[#This Row],[Hue]])</f>
        <v>3.1199547181931968</v>
      </c>
      <c r="U441">
        <f>LN(1+Table1[[#This Row],[Saturation]])</f>
        <v>4.5327721115400568</v>
      </c>
      <c r="V441">
        <f>LN(1+Table1[[#This Row],[Value]])</f>
        <v>3.9773582678884849</v>
      </c>
    </row>
    <row r="442" spans="1:23" x14ac:dyDescent="0.3">
      <c r="A442">
        <v>1200</v>
      </c>
      <c r="B442">
        <v>133.10986666421499</v>
      </c>
      <c r="C442">
        <v>54.549854406804599</v>
      </c>
      <c r="D442">
        <v>10.2296389883965</v>
      </c>
      <c r="E442">
        <v>33.370267611891698</v>
      </c>
      <c r="F442">
        <v>31.540512344069601</v>
      </c>
      <c r="G442">
        <v>40.638391282546102</v>
      </c>
      <c r="H442">
        <v>21.640690088237601</v>
      </c>
      <c r="I442">
        <v>92.314890515064604</v>
      </c>
      <c r="J442">
        <v>52.199947711457099</v>
      </c>
      <c r="K442" t="s">
        <v>1</v>
      </c>
      <c r="L442">
        <v>27.36</v>
      </c>
      <c r="M442">
        <v>2</v>
      </c>
      <c r="N442">
        <f>LN(1+Table1[[#This Row],[Redness]])</f>
        <v>4.8986593644953391</v>
      </c>
      <c r="O442">
        <f>LN(1+Table1[[#This Row],[Greeness]])</f>
        <v>4.0172808951425933</v>
      </c>
      <c r="P442">
        <f>LN(1+Table1[[#This Row],[Blueness]])</f>
        <v>2.4185566211629648</v>
      </c>
      <c r="Q442">
        <f>LN(1+Table1[[#This Row],[L* lab]])</f>
        <v>3.5371918770371824</v>
      </c>
      <c r="R442">
        <f>LN(1+Table1[[#This Row],[a* lab]]+128)</f>
        <v>5.0785463240778679</v>
      </c>
      <c r="S442">
        <f>LN(1+Table1[[#This Row],[b* lab]]+128)</f>
        <v>5.1336690614356648</v>
      </c>
      <c r="T442">
        <f>LN(1+Table1[[#This Row],[Hue]])</f>
        <v>3.1197487337996708</v>
      </c>
      <c r="U442">
        <f>LN(1+Table1[[#This Row],[Saturation]])</f>
        <v>4.5359796933510586</v>
      </c>
      <c r="V442">
        <f>LN(1+Table1[[#This Row],[Value]])</f>
        <v>3.9740574134797679</v>
      </c>
    </row>
    <row r="443" spans="1:23" x14ac:dyDescent="0.3">
      <c r="A443">
        <v>1200</v>
      </c>
      <c r="B443">
        <v>131.47893333091201</v>
      </c>
      <c r="C443">
        <v>52.758921475976301</v>
      </c>
      <c r="D443">
        <v>9.2479719482017693</v>
      </c>
      <c r="E443">
        <v>32.722934504414397</v>
      </c>
      <c r="F443">
        <v>31.777660253591801</v>
      </c>
      <c r="G443">
        <v>40.3962576059808</v>
      </c>
      <c r="H443">
        <v>21.358393504673298</v>
      </c>
      <c r="I443">
        <v>92.966194877071203</v>
      </c>
      <c r="J443">
        <v>51.5603660121225</v>
      </c>
      <c r="K443" t="s">
        <v>1</v>
      </c>
      <c r="L443">
        <v>27.36</v>
      </c>
      <c r="M443">
        <v>2</v>
      </c>
      <c r="N443">
        <f>LN(1+Table1[[#This Row],[Redness]])</f>
        <v>4.8864236390564679</v>
      </c>
      <c r="O443">
        <f>LN(1+Table1[[#This Row],[Greeness]])</f>
        <v>3.9845096341828548</v>
      </c>
      <c r="P443">
        <f>LN(1+Table1[[#This Row],[Blueness]])</f>
        <v>2.3270798272957776</v>
      </c>
      <c r="Q443">
        <f>LN(1+Table1[[#This Row],[L* lab]])</f>
        <v>3.5181781549822091</v>
      </c>
      <c r="R443">
        <f>LN(1+Table1[[#This Row],[a* lab]]+128)</f>
        <v>5.0800224183221756</v>
      </c>
      <c r="S443">
        <f>LN(1+Table1[[#This Row],[b* lab]]+128)</f>
        <v>5.1322406899194979</v>
      </c>
      <c r="T443">
        <f>LN(1+Table1[[#This Row],[Hue]])</f>
        <v>3.1072017988664928</v>
      </c>
      <c r="U443">
        <f>LN(1+Table1[[#This Row],[Saturation]])</f>
        <v>4.5429350886206707</v>
      </c>
      <c r="V443">
        <f>LN(1+Table1[[#This Row],[Value]])</f>
        <v>3.9619623378530693</v>
      </c>
    </row>
    <row r="444" spans="1:23" x14ac:dyDescent="0.3">
      <c r="A444">
        <v>1200</v>
      </c>
      <c r="B444">
        <v>131.408333330913</v>
      </c>
      <c r="C444">
        <v>52.695077045880602</v>
      </c>
      <c r="D444">
        <v>9.1880399487585205</v>
      </c>
      <c r="E444">
        <v>32.697554444479699</v>
      </c>
      <c r="F444">
        <v>31.780095654442398</v>
      </c>
      <c r="G444">
        <v>40.3993610905708</v>
      </c>
      <c r="H444">
        <v>21.358337094357299</v>
      </c>
      <c r="I444">
        <v>93.008023375792206</v>
      </c>
      <c r="J444">
        <v>51.532679737613201</v>
      </c>
      <c r="K444" t="s">
        <v>1</v>
      </c>
      <c r="L444">
        <v>27.36</v>
      </c>
      <c r="M444">
        <v>2</v>
      </c>
      <c r="N444">
        <f>LN(1+Table1[[#This Row],[Redness]])</f>
        <v>4.8858905820880416</v>
      </c>
      <c r="O444">
        <f>LN(1+Table1[[#This Row],[Greeness]])</f>
        <v>3.9833213221891319</v>
      </c>
      <c r="P444">
        <f>LN(1+Table1[[#This Row],[Blueness]])</f>
        <v>2.3212144782676032</v>
      </c>
      <c r="Q444">
        <f>LN(1+Table1[[#This Row],[L* lab]])</f>
        <v>3.5174252663120362</v>
      </c>
      <c r="R444">
        <f>LN(1+Table1[[#This Row],[a* lab]]+128)</f>
        <v>5.0800375658395707</v>
      </c>
      <c r="S444">
        <f>LN(1+Table1[[#This Row],[b* lab]]+128)</f>
        <v>5.1322590106085437</v>
      </c>
      <c r="T444">
        <f>LN(1+Table1[[#This Row],[Hue]])</f>
        <v>3.1071992758593208</v>
      </c>
      <c r="U444">
        <f>LN(1+Table1[[#This Row],[Saturation]])</f>
        <v>4.5433801336890873</v>
      </c>
      <c r="V444">
        <f>LN(1+Table1[[#This Row],[Value]])</f>
        <v>3.9614354471353765</v>
      </c>
    </row>
    <row r="445" spans="1:23" x14ac:dyDescent="0.3">
      <c r="A445">
        <v>1200</v>
      </c>
      <c r="B445">
        <v>135.1688888864</v>
      </c>
      <c r="C445">
        <v>54.644609941064203</v>
      </c>
      <c r="D445">
        <v>10.2161281779918</v>
      </c>
      <c r="E445">
        <v>33.747780440105601</v>
      </c>
      <c r="F445">
        <v>32.333189613181297</v>
      </c>
      <c r="G445">
        <v>41.087799859437197</v>
      </c>
      <c r="H445">
        <v>21.333733569961499</v>
      </c>
      <c r="I445">
        <v>92.441952980335699</v>
      </c>
      <c r="J445">
        <v>53.007407406431398</v>
      </c>
      <c r="K445" t="s">
        <v>1</v>
      </c>
      <c r="L445">
        <v>27.36</v>
      </c>
      <c r="M445">
        <v>2</v>
      </c>
      <c r="N445">
        <f>LN(1+Table1[[#This Row],[Redness]])</f>
        <v>4.9138959453499433</v>
      </c>
      <c r="O445">
        <f>LN(1+Table1[[#This Row],[Greeness]])</f>
        <v>4.0189852166257136</v>
      </c>
      <c r="P445">
        <f>LN(1+Table1[[#This Row],[Blueness]])</f>
        <v>2.4173527583645762</v>
      </c>
      <c r="Q445">
        <f>LN(1+Table1[[#This Row],[L* lab]])</f>
        <v>3.5481156977437065</v>
      </c>
      <c r="R445">
        <f>LN(1+Table1[[#This Row],[a* lab]]+128)</f>
        <v>5.0834717272207364</v>
      </c>
      <c r="S445">
        <f>LN(1+Table1[[#This Row],[b* lab]]+128)</f>
        <v>5.1363147734870536</v>
      </c>
      <c r="T445">
        <f>LN(1+Table1[[#This Row],[Hue]])</f>
        <v>3.1060982516053284</v>
      </c>
      <c r="U445">
        <f>LN(1+Table1[[#This Row],[Saturation]])</f>
        <v>4.5373404197640612</v>
      </c>
      <c r="V445">
        <f>LN(1+Table1[[#This Row],[Value]])</f>
        <v>3.989121211349929</v>
      </c>
    </row>
    <row r="446" spans="1:23" x14ac:dyDescent="0.3">
      <c r="A446">
        <v>1200</v>
      </c>
      <c r="B446">
        <v>131.68937777535299</v>
      </c>
      <c r="C446">
        <v>52.6893659360531</v>
      </c>
      <c r="D446">
        <v>9.6891621287528906</v>
      </c>
      <c r="E446">
        <v>32.747254012092903</v>
      </c>
      <c r="F446">
        <v>31.9115998250372</v>
      </c>
      <c r="G446">
        <v>40.265241926221201</v>
      </c>
      <c r="H446">
        <v>21.147603836304398</v>
      </c>
      <c r="I446">
        <v>92.642411793241493</v>
      </c>
      <c r="J446">
        <v>51.642893245236401</v>
      </c>
      <c r="K446" t="s">
        <v>1</v>
      </c>
      <c r="L446">
        <v>27.36</v>
      </c>
      <c r="M446">
        <v>2</v>
      </c>
      <c r="N446">
        <f>LN(1+Table1[[#This Row],[Redness]])</f>
        <v>4.888010891226573</v>
      </c>
      <c r="O446">
        <f>LN(1+Table1[[#This Row],[Greeness]])</f>
        <v>3.9832149546432509</v>
      </c>
      <c r="P446">
        <f>LN(1+Table1[[#This Row],[Blueness]])</f>
        <v>2.3692303429897534</v>
      </c>
      <c r="Q446">
        <f>LN(1+Table1[[#This Row],[L* lab]])</f>
        <v>3.5188990514037677</v>
      </c>
      <c r="R446">
        <f>LN(1+Table1[[#This Row],[a* lab]]+128)</f>
        <v>5.0808551447809478</v>
      </c>
      <c r="S446">
        <f>LN(1+Table1[[#This Row],[b* lab]]+128)</f>
        <v>5.1314669634316825</v>
      </c>
      <c r="T446">
        <f>LN(1+Table1[[#This Row],[Hue]])</f>
        <v>3.0977293116914977</v>
      </c>
      <c r="U446">
        <f>LN(1+Table1[[#This Row],[Saturation]])</f>
        <v>4.5394833983059968</v>
      </c>
      <c r="V446">
        <f>LN(1+Table1[[#This Row],[Value]])</f>
        <v>3.9635312483720919</v>
      </c>
    </row>
    <row r="447" spans="1:23" x14ac:dyDescent="0.3">
      <c r="A447">
        <v>1200</v>
      </c>
      <c r="B447">
        <v>131.371222219803</v>
      </c>
      <c r="C447">
        <v>52.371210452001698</v>
      </c>
      <c r="D447">
        <v>9.3710136541407003</v>
      </c>
      <c r="E447">
        <v>32.6265942430392</v>
      </c>
      <c r="F447">
        <v>31.939110244421599</v>
      </c>
      <c r="G447">
        <v>40.2695185374643</v>
      </c>
      <c r="H447">
        <v>21.147601616459902</v>
      </c>
      <c r="I447">
        <v>92.866768310595702</v>
      </c>
      <c r="J447">
        <v>51.5181263607071</v>
      </c>
      <c r="K447" t="s">
        <v>1</v>
      </c>
      <c r="L447">
        <v>27.36</v>
      </c>
      <c r="M447">
        <v>2</v>
      </c>
      <c r="N447">
        <f>LN(1+Table1[[#This Row],[Redness]])</f>
        <v>4.8856102650425974</v>
      </c>
      <c r="O447">
        <f>LN(1+Table1[[#This Row],[Greeness]])</f>
        <v>3.9772714704709267</v>
      </c>
      <c r="P447">
        <f>LN(1+Table1[[#This Row],[Blueness]])</f>
        <v>2.3390147661760778</v>
      </c>
      <c r="Q447">
        <f>LN(1+Table1[[#This Row],[L* lab]])</f>
        <v>3.5153172492304621</v>
      </c>
      <c r="R447">
        <f>LN(1+Table1[[#This Row],[a* lab]]+128)</f>
        <v>5.0810260962102332</v>
      </c>
      <c r="S447">
        <f>LN(1+Table1[[#This Row],[b* lab]]+128)</f>
        <v>5.1314922288504388</v>
      </c>
      <c r="T447">
        <f>LN(1+Table1[[#This Row],[Hue]])</f>
        <v>3.0977292114619366</v>
      </c>
      <c r="U447">
        <f>LN(1+Table1[[#This Row],[Saturation]])</f>
        <v>4.541876418469549</v>
      </c>
      <c r="V447">
        <f>LN(1+Table1[[#This Row],[Value]])</f>
        <v>3.9611583740211431</v>
      </c>
    </row>
    <row r="448" spans="1:23" x14ac:dyDescent="0.3">
      <c r="A448">
        <v>1200</v>
      </c>
      <c r="B448">
        <v>128.628266664298</v>
      </c>
      <c r="C448">
        <v>49.628255512914301</v>
      </c>
      <c r="D448">
        <v>9.8077817108916001</v>
      </c>
      <c r="E448">
        <v>31.602398666238301</v>
      </c>
      <c r="F448">
        <v>32.240442094629998</v>
      </c>
      <c r="G448">
        <v>39.106980091001297</v>
      </c>
      <c r="H448">
        <v>20.107883157169798</v>
      </c>
      <c r="I448">
        <v>92.375096108160605</v>
      </c>
      <c r="J448">
        <v>50.442457515411</v>
      </c>
      <c r="K448" t="s">
        <v>1</v>
      </c>
      <c r="L448">
        <v>27.36</v>
      </c>
      <c r="M448">
        <v>2</v>
      </c>
      <c r="N448">
        <f>LN(1+Table1[[#This Row],[Redness]])</f>
        <v>4.8646708671139134</v>
      </c>
      <c r="O448">
        <f>LN(1+Table1[[#This Row],[Greeness]])</f>
        <v>3.9245098297870702</v>
      </c>
      <c r="P448">
        <f>LN(1+Table1[[#This Row],[Blueness]])</f>
        <v>2.3802664034601904</v>
      </c>
      <c r="Q448">
        <f>LN(1+Table1[[#This Row],[L* lab]])</f>
        <v>3.4843858643848469</v>
      </c>
      <c r="R448">
        <f>LN(1+Table1[[#This Row],[a* lab]]+128)</f>
        <v>5.0828966800873667</v>
      </c>
      <c r="S448">
        <f>LN(1+Table1[[#This Row],[b* lab]]+128)</f>
        <v>5.124600562996882</v>
      </c>
      <c r="T448">
        <f>LN(1+Table1[[#This Row],[Hue]])</f>
        <v>3.0496465800519683</v>
      </c>
      <c r="U448">
        <f>LN(1+Table1[[#This Row],[Saturation]])</f>
        <v>4.5366246727232475</v>
      </c>
      <c r="V448">
        <f>LN(1+Table1[[#This Row],[Value]])</f>
        <v>3.9404638531935494</v>
      </c>
    </row>
    <row r="449" spans="1:23" x14ac:dyDescent="0.3">
      <c r="A449">
        <v>1200</v>
      </c>
      <c r="B449">
        <v>128.74613333096201</v>
      </c>
      <c r="C449">
        <v>49.742566598334399</v>
      </c>
      <c r="D449">
        <v>9.9512451845310697</v>
      </c>
      <c r="E449">
        <v>31.6465467375088</v>
      </c>
      <c r="F449">
        <v>32.232949253464099</v>
      </c>
      <c r="G449">
        <v>39.096279732155999</v>
      </c>
      <c r="H449">
        <v>20.097491753056701</v>
      </c>
      <c r="I449">
        <v>92.270645395656402</v>
      </c>
      <c r="J449">
        <v>50.488679737632403</v>
      </c>
      <c r="K449" t="s">
        <v>1</v>
      </c>
      <c r="L449">
        <v>27.36</v>
      </c>
      <c r="M449">
        <v>2</v>
      </c>
      <c r="N449">
        <f>LN(1+Table1[[#This Row],[Redness]])</f>
        <v>4.8655797206845008</v>
      </c>
      <c r="O449">
        <f>LN(1+Table1[[#This Row],[Greeness]])</f>
        <v>3.9267651362251965</v>
      </c>
      <c r="P449">
        <f>LN(1+Table1[[#This Row],[Blueness]])</f>
        <v>2.3934531652796838</v>
      </c>
      <c r="Q449">
        <f>LN(1+Table1[[#This Row],[L* lab]])</f>
        <v>3.4857390840494511</v>
      </c>
      <c r="R449">
        <f>LN(1+Table1[[#This Row],[a* lab]]+128)</f>
        <v>5.082850209021113</v>
      </c>
      <c r="S449">
        <f>LN(1+Table1[[#This Row],[b* lab]]+128)</f>
        <v>5.1245369088915966</v>
      </c>
      <c r="T449">
        <f>LN(1+Table1[[#This Row],[Hue]])</f>
        <v>3.0491541591532001</v>
      </c>
      <c r="U449">
        <f>LN(1+Table1[[#This Row],[Saturation]])</f>
        <v>4.5355054323637694</v>
      </c>
      <c r="V449">
        <f>LN(1+Table1[[#This Row],[Value]])</f>
        <v>3.9413619725879703</v>
      </c>
    </row>
    <row r="450" spans="1:23" x14ac:dyDescent="0.3">
      <c r="A450">
        <v>10</v>
      </c>
      <c r="B450">
        <v>173.32449444125299</v>
      </c>
      <c r="C450">
        <v>136.26313048651599</v>
      </c>
      <c r="D450">
        <v>4.6095585174310498</v>
      </c>
      <c r="E450">
        <v>58.614127411381403</v>
      </c>
      <c r="F450">
        <v>3.6719622735012898</v>
      </c>
      <c r="G450">
        <v>62.783597198842799</v>
      </c>
      <c r="H450">
        <v>46.819887491832702</v>
      </c>
      <c r="I450">
        <v>97.340503699554404</v>
      </c>
      <c r="J450">
        <v>67.970389976961897</v>
      </c>
      <c r="K450" t="s">
        <v>5</v>
      </c>
      <c r="L450">
        <v>0.17299999999999999</v>
      </c>
      <c r="M450">
        <v>0</v>
      </c>
      <c r="N450">
        <f>LN(1+Table1[[#This Row],[Redness]])</f>
        <v>5.1609184730096693</v>
      </c>
      <c r="O450">
        <f>LN(1+Table1[[#This Row],[Greeness]])</f>
        <v>4.9218997442036274</v>
      </c>
      <c r="P450">
        <f>LN(1+Table1[[#This Row],[Blueness]])</f>
        <v>1.724472020792851</v>
      </c>
      <c r="Q450">
        <f>LN(1+Table1[[#This Row],[L* lab]])</f>
        <v>4.0878925830861634</v>
      </c>
      <c r="R450">
        <f>LN(1+Table1[[#This Row],[a* lab]]+128)</f>
        <v>4.8878796324541121</v>
      </c>
      <c r="S450">
        <f>LN(1+Table1[[#This Row],[b* lab]]+128)</f>
        <v>5.2563676384525513</v>
      </c>
      <c r="T450">
        <f>LN(1+Table1[[#This Row],[Hue]])</f>
        <v>3.867441609284473</v>
      </c>
      <c r="U450">
        <f>LN(1+Table1[[#This Row],[Saturation]])</f>
        <v>4.5884359839917703</v>
      </c>
      <c r="V450">
        <f>LN(1+Table1[[#This Row],[Value]])</f>
        <v>4.2336772817256323</v>
      </c>
    </row>
    <row r="451" spans="1:23" x14ac:dyDescent="0.3">
      <c r="A451">
        <v>10</v>
      </c>
      <c r="B451">
        <v>175.34793333010401</v>
      </c>
      <c r="C451">
        <v>137.839013465676</v>
      </c>
      <c r="D451">
        <v>4.1829207907677404</v>
      </c>
      <c r="E451">
        <v>59.245614210609801</v>
      </c>
      <c r="F451">
        <v>3.72255275882834</v>
      </c>
      <c r="G451">
        <v>63.400378630835696</v>
      </c>
      <c r="H451">
        <v>46.8516634417417</v>
      </c>
      <c r="I451">
        <v>97.614502371754099</v>
      </c>
      <c r="J451">
        <v>68.763895423570403</v>
      </c>
      <c r="K451" t="s">
        <v>5</v>
      </c>
      <c r="L451">
        <v>0.17299999999999999</v>
      </c>
      <c r="M451">
        <v>0</v>
      </c>
      <c r="N451">
        <f>LN(1+Table1[[#This Row],[Redness]])</f>
        <v>5.1724589374759038</v>
      </c>
      <c r="O451">
        <f>LN(1+Table1[[#This Row],[Greeness]])</f>
        <v>4.9333150854200554</v>
      </c>
      <c r="P451">
        <f>LN(1+Table1[[#This Row],[Blueness]])</f>
        <v>1.6453687565840844</v>
      </c>
      <c r="Q451">
        <f>LN(1+Table1[[#This Row],[L* lab]])</f>
        <v>4.098429776536312</v>
      </c>
      <c r="R451">
        <f>LN(1+Table1[[#This Row],[a* lab]]+128)</f>
        <v>4.8882608798656015</v>
      </c>
      <c r="S451">
        <f>LN(1+Table1[[#This Row],[b* lab]]+128)</f>
        <v>5.2595785061654059</v>
      </c>
      <c r="T451">
        <f>LN(1+Table1[[#This Row],[Hue]])</f>
        <v>3.8681058809674838</v>
      </c>
      <c r="U451">
        <f>LN(1+Table1[[#This Row],[Saturation]])</f>
        <v>4.5912183336707946</v>
      </c>
      <c r="V451">
        <f>LN(1+Table1[[#This Row],[Value]])</f>
        <v>4.2451166184025233</v>
      </c>
    </row>
    <row r="452" spans="1:23" x14ac:dyDescent="0.3">
      <c r="A452">
        <v>10</v>
      </c>
      <c r="B452">
        <v>173.082644441257</v>
      </c>
      <c r="C452">
        <v>136.029724983417</v>
      </c>
      <c r="D452">
        <v>3.7753493064189598</v>
      </c>
      <c r="E452">
        <v>58.526697012491802</v>
      </c>
      <c r="F452">
        <v>3.67734523366979</v>
      </c>
      <c r="G452">
        <v>62.8399415879543</v>
      </c>
      <c r="H452">
        <v>46.868993650274597</v>
      </c>
      <c r="I452">
        <v>97.818759172182396</v>
      </c>
      <c r="J452">
        <v>67.875546839708804</v>
      </c>
      <c r="K452" t="s">
        <v>5</v>
      </c>
      <c r="L452">
        <v>0.17299999999999999</v>
      </c>
      <c r="M452">
        <v>0</v>
      </c>
      <c r="N452">
        <f>LN(1+Table1[[#This Row],[Redness]])</f>
        <v>5.1595301545061085</v>
      </c>
      <c r="O452">
        <f>LN(1+Table1[[#This Row],[Greeness]])</f>
        <v>4.9201978729752662</v>
      </c>
      <c r="P452">
        <f>LN(1+Table1[[#This Row],[Blueness]])</f>
        <v>1.563467124433876</v>
      </c>
      <c r="Q452">
        <f>LN(1+Table1[[#This Row],[L* lab]])</f>
        <v>4.0864249012062235</v>
      </c>
      <c r="R452">
        <f>LN(1+Table1[[#This Row],[a* lab]]+128)</f>
        <v>4.8879202050881227</v>
      </c>
      <c r="S452">
        <f>LN(1+Table1[[#This Row],[b* lab]]+128)</f>
        <v>5.2566613867960168</v>
      </c>
      <c r="T452">
        <f>LN(1+Table1[[#This Row],[Hue]])</f>
        <v>3.8684679806280742</v>
      </c>
      <c r="U452">
        <f>LN(1+Table1[[#This Row],[Saturation]])</f>
        <v>4.5932874568945534</v>
      </c>
      <c r="V452">
        <f>LN(1+Table1[[#This Row],[Value]])</f>
        <v>4.2323012070380583</v>
      </c>
    </row>
    <row r="453" spans="1:23" x14ac:dyDescent="0.3">
      <c r="A453">
        <v>10</v>
      </c>
      <c r="B453">
        <v>175.37104444121499</v>
      </c>
      <c r="C453">
        <v>138.151591173203</v>
      </c>
      <c r="D453">
        <v>4.5168494697197996</v>
      </c>
      <c r="E453">
        <v>59.332034673375503</v>
      </c>
      <c r="F453">
        <v>3.5639442825979302</v>
      </c>
      <c r="G453">
        <v>63.407025097144498</v>
      </c>
      <c r="H453">
        <v>46.929397920529297</v>
      </c>
      <c r="I453">
        <v>97.424404077587695</v>
      </c>
      <c r="J453">
        <v>68.772958604398198</v>
      </c>
      <c r="K453" t="s">
        <v>5</v>
      </c>
      <c r="L453">
        <v>0.17299999999999999</v>
      </c>
      <c r="M453">
        <v>0</v>
      </c>
      <c r="N453">
        <f>LN(1+Table1[[#This Row],[Redness]])</f>
        <v>5.1725899829404263</v>
      </c>
      <c r="O453">
        <f>LN(1+Table1[[#This Row],[Greeness]])</f>
        <v>4.9355639228558781</v>
      </c>
      <c r="P453">
        <f>LN(1+Table1[[#This Row],[Blueness]])</f>
        <v>1.7078069491110599</v>
      </c>
      <c r="Q453">
        <f>LN(1+Table1[[#This Row],[L* lab]])</f>
        <v>4.0998632176153729</v>
      </c>
      <c r="R453">
        <f>LN(1+Table1[[#This Row],[a* lab]]+128)</f>
        <v>4.8870651273723711</v>
      </c>
      <c r="S453">
        <f>LN(1+Table1[[#This Row],[b* lab]]+128)</f>
        <v>5.2596130505439449</v>
      </c>
      <c r="T453">
        <f>LN(1+Table1[[#This Row],[Hue]])</f>
        <v>3.8697290514512752</v>
      </c>
      <c r="U453">
        <f>LN(1+Table1[[#This Row],[Saturation]])</f>
        <v>4.589288782227654</v>
      </c>
      <c r="V453">
        <f>LN(1+Table1[[#This Row],[Value]])</f>
        <v>4.2452465221602607</v>
      </c>
    </row>
    <row r="454" spans="1:23" x14ac:dyDescent="0.3">
      <c r="A454">
        <v>10</v>
      </c>
      <c r="B454">
        <v>168.14618333023699</v>
      </c>
      <c r="C454">
        <v>132.28899804635299</v>
      </c>
      <c r="D454">
        <v>3.5081552532837401</v>
      </c>
      <c r="E454">
        <v>57.005968382788602</v>
      </c>
      <c r="F454">
        <v>3.4809332942981102</v>
      </c>
      <c r="G454">
        <v>61.560110023297902</v>
      </c>
      <c r="H454">
        <v>46.932356138112702</v>
      </c>
      <c r="I454">
        <v>97.913627782800305</v>
      </c>
      <c r="J454">
        <v>65.939679737347902</v>
      </c>
      <c r="K454" t="s">
        <v>5</v>
      </c>
      <c r="L454">
        <v>0.17299999999999999</v>
      </c>
      <c r="M454">
        <v>0</v>
      </c>
      <c r="N454">
        <f>LN(1+Table1[[#This Row],[Redness]])</f>
        <v>5.1307633311544567</v>
      </c>
      <c r="O454">
        <f>LN(1+Table1[[#This Row],[Greeness]])</f>
        <v>4.892519688492265</v>
      </c>
      <c r="P454">
        <f>LN(1+Table1[[#This Row],[Blueness]])</f>
        <v>1.5058880350884389</v>
      </c>
      <c r="Q454">
        <f>LN(1+Table1[[#This Row],[L* lab]])</f>
        <v>4.0605459084037809</v>
      </c>
      <c r="R454">
        <f>LN(1+Table1[[#This Row],[a* lab]]+128)</f>
        <v>4.8864387354060517</v>
      </c>
      <c r="S454">
        <f>LN(1+Table1[[#This Row],[b* lab]]+128)</f>
        <v>5.249967682975095</v>
      </c>
      <c r="T454">
        <f>LN(1+Table1[[#This Row],[Hue]])</f>
        <v>3.8697907698626146</v>
      </c>
      <c r="U454">
        <f>LN(1+Table1[[#This Row],[Saturation]])</f>
        <v>4.5942470226931373</v>
      </c>
      <c r="V454">
        <f>LN(1+Table1[[#This Row],[Value]])</f>
        <v>4.2037919114476825</v>
      </c>
    </row>
    <row r="455" spans="1:23" x14ac:dyDescent="0.3">
      <c r="A455">
        <v>10</v>
      </c>
      <c r="B455">
        <v>177.80531666339201</v>
      </c>
      <c r="C455">
        <v>140.19026293724201</v>
      </c>
      <c r="D455">
        <v>4.6529158857713302</v>
      </c>
      <c r="E455">
        <v>60.126831187653103</v>
      </c>
      <c r="F455">
        <v>3.5561793546726701</v>
      </c>
      <c r="G455">
        <v>64.075917610146007</v>
      </c>
      <c r="H455">
        <v>46.965798837132198</v>
      </c>
      <c r="I455">
        <v>97.383140182146505</v>
      </c>
      <c r="J455">
        <v>69.727575162114803</v>
      </c>
      <c r="K455" t="s">
        <v>5</v>
      </c>
      <c r="L455">
        <v>0.17299999999999999</v>
      </c>
      <c r="M455">
        <v>0</v>
      </c>
      <c r="N455">
        <f>LN(1+Table1[[#This Row],[Redness]])</f>
        <v>5.1862975975512002</v>
      </c>
      <c r="O455">
        <f>LN(1+Table1[[#This Row],[Greeness]])</f>
        <v>4.9501083633133609</v>
      </c>
      <c r="P455">
        <f>LN(1+Table1[[#This Row],[Blueness]])</f>
        <v>1.7321714980090095</v>
      </c>
      <c r="Q455">
        <f>LN(1+Table1[[#This Row],[L* lab]])</f>
        <v>4.1129509054265165</v>
      </c>
      <c r="R455">
        <f>LN(1+Table1[[#This Row],[a* lab]]+128)</f>
        <v>4.8870065506953466</v>
      </c>
      <c r="S455">
        <f>LN(1+Table1[[#This Row],[b* lab]]+128)</f>
        <v>5.26308346705388</v>
      </c>
      <c r="T455">
        <f>LN(1+Table1[[#This Row],[Hue]])</f>
        <v>3.8704882327154468</v>
      </c>
      <c r="U455">
        <f>LN(1+Table1[[#This Row],[Saturation]])</f>
        <v>4.5888694497655669</v>
      </c>
      <c r="V455">
        <f>LN(1+Table1[[#This Row],[Value]])</f>
        <v>4.258835527441911</v>
      </c>
    </row>
    <row r="456" spans="1:23" x14ac:dyDescent="0.3">
      <c r="A456">
        <v>10</v>
      </c>
      <c r="B456">
        <v>174.977249996778</v>
      </c>
      <c r="C456">
        <v>138.35846334893199</v>
      </c>
      <c r="D456">
        <v>4.4137017654499697</v>
      </c>
      <c r="E456">
        <v>59.344373251628198</v>
      </c>
      <c r="F456">
        <v>3.2689305042636398</v>
      </c>
      <c r="G456">
        <v>63.414145871193099</v>
      </c>
      <c r="H456">
        <v>47.118424647856699</v>
      </c>
      <c r="I456">
        <v>97.477556787793105</v>
      </c>
      <c r="J456">
        <v>68.618529410501196</v>
      </c>
      <c r="K456" t="s">
        <v>5</v>
      </c>
      <c r="L456">
        <v>0.17299999999999999</v>
      </c>
      <c r="M456">
        <v>0</v>
      </c>
      <c r="N456">
        <f>LN(1+Table1[[#This Row],[Redness]])</f>
        <v>5.1703547253012365</v>
      </c>
      <c r="O456">
        <f>LN(1+Table1[[#This Row],[Greeness]])</f>
        <v>4.9370494865575507</v>
      </c>
      <c r="P456">
        <f>LN(1+Table1[[#This Row],[Blueness]])</f>
        <v>1.6889331038695057</v>
      </c>
      <c r="Q456">
        <f>LN(1+Table1[[#This Row],[L* lab]])</f>
        <v>4.1000677079297247</v>
      </c>
      <c r="R456">
        <f>LN(1+Table1[[#This Row],[a* lab]]+128)</f>
        <v>4.8848372023037747</v>
      </c>
      <c r="S456">
        <f>LN(1+Table1[[#This Row],[b* lab]]+128)</f>
        <v>5.2596500587679547</v>
      </c>
      <c r="T456">
        <f>LN(1+Table1[[#This Row],[Hue]])</f>
        <v>3.873665152579238</v>
      </c>
      <c r="U456">
        <f>LN(1+Table1[[#This Row],[Saturation]])</f>
        <v>4.5898286723461972</v>
      </c>
      <c r="V456">
        <f>LN(1+Table1[[#This Row],[Value]])</f>
        <v>4.2430307590705851</v>
      </c>
    </row>
    <row r="457" spans="1:23" x14ac:dyDescent="0.3">
      <c r="A457">
        <v>10</v>
      </c>
      <c r="B457">
        <v>175.98664444120399</v>
      </c>
      <c r="C457">
        <v>139.287590917892</v>
      </c>
      <c r="D457">
        <v>4.4045519690944799</v>
      </c>
      <c r="E457">
        <v>59.696732270330699</v>
      </c>
      <c r="F457">
        <v>3.2185386171312702</v>
      </c>
      <c r="G457">
        <v>63.715870894165398</v>
      </c>
      <c r="H457">
        <v>47.166823881946499</v>
      </c>
      <c r="I457">
        <v>97.497223733607797</v>
      </c>
      <c r="J457">
        <v>69.014370369099595</v>
      </c>
      <c r="K457" t="s">
        <v>5</v>
      </c>
      <c r="L457">
        <v>0.17299999999999999</v>
      </c>
      <c r="M457">
        <v>0</v>
      </c>
      <c r="N457">
        <f>LN(1+Table1[[#This Row],[Redness]])</f>
        <v>5.1760742745925068</v>
      </c>
      <c r="O457">
        <f>LN(1+Table1[[#This Row],[Greeness]])</f>
        <v>4.9436945364247942</v>
      </c>
      <c r="P457">
        <f>LN(1+Table1[[#This Row],[Blueness]])</f>
        <v>1.687241555721029</v>
      </c>
      <c r="Q457">
        <f>LN(1+Table1[[#This Row],[L* lab]])</f>
        <v>4.1058898625196516</v>
      </c>
      <c r="R457">
        <f>LN(1+Table1[[#This Row],[a* lab]]+128)</f>
        <v>4.884456149183114</v>
      </c>
      <c r="S457">
        <f>LN(1+Table1[[#This Row],[b* lab]]+128)</f>
        <v>5.2612169326628369</v>
      </c>
      <c r="T457">
        <f>LN(1+Table1[[#This Row],[Hue]])</f>
        <v>3.874670482864099</v>
      </c>
      <c r="U457">
        <f>LN(1+Table1[[#This Row],[Saturation]])</f>
        <v>4.5900283623352198</v>
      </c>
      <c r="V457">
        <f>LN(1+Table1[[#This Row],[Value]])</f>
        <v>4.2487005119671846</v>
      </c>
    </row>
    <row r="458" spans="1:23" x14ac:dyDescent="0.3">
      <c r="A458">
        <v>50</v>
      </c>
      <c r="B458">
        <v>182.54846670000001</v>
      </c>
      <c r="C458">
        <v>121.9501281</v>
      </c>
      <c r="D458">
        <v>4.1561408310000001</v>
      </c>
      <c r="E458">
        <v>56.014501320000001</v>
      </c>
      <c r="F458">
        <v>15.810760930000001</v>
      </c>
      <c r="G458">
        <v>61.5132999</v>
      </c>
      <c r="H458">
        <v>39.618516130000003</v>
      </c>
      <c r="I458">
        <v>97.723267190000001</v>
      </c>
      <c r="J458">
        <v>71.58763399</v>
      </c>
      <c r="K458" t="s">
        <v>5</v>
      </c>
      <c r="L458">
        <v>0.86499999999999999</v>
      </c>
      <c r="M458">
        <v>0</v>
      </c>
      <c r="N458">
        <f>LN(1+Table1[[#This Row],[Redness]])</f>
        <v>5.2124787563258215</v>
      </c>
      <c r="O458">
        <f>LN(1+Table1[[#This Row],[Greeness]])</f>
        <v>4.8117788105486046</v>
      </c>
      <c r="P458">
        <f>LN(1+Table1[[#This Row],[Blueness]])</f>
        <v>1.6401883987070236</v>
      </c>
      <c r="Q458">
        <f>LN(1+Table1[[#This Row],[L* lab]])</f>
        <v>4.043305644600844</v>
      </c>
      <c r="R458">
        <f>LN(1+Table1[[#This Row],[a* lab]]+128)</f>
        <v>4.9754277930052497</v>
      </c>
      <c r="S458">
        <f>LN(1+Table1[[#This Row],[b* lab]]+128)</f>
        <v>5.2497220078777813</v>
      </c>
      <c r="T458">
        <f>LN(1+Table1[[#This Row],[Hue]])</f>
        <v>3.7042240249581488</v>
      </c>
      <c r="U458">
        <f>LN(1+Table1[[#This Row],[Saturation]])</f>
        <v>4.5923206551321236</v>
      </c>
      <c r="V458">
        <f>LN(1+Table1[[#This Row],[Value]])</f>
        <v>4.2847945766065729</v>
      </c>
      <c r="W458" t="s">
        <v>26</v>
      </c>
    </row>
    <row r="459" spans="1:23" x14ac:dyDescent="0.3">
      <c r="A459">
        <v>50</v>
      </c>
      <c r="B459">
        <v>187.24462220000001</v>
      </c>
      <c r="C459">
        <v>127.2109047</v>
      </c>
      <c r="D459">
        <v>5.2728993089999996</v>
      </c>
      <c r="E459">
        <v>57.886359919999997</v>
      </c>
      <c r="F459">
        <v>15.007520169999999</v>
      </c>
      <c r="G459">
        <v>62.88084156</v>
      </c>
      <c r="H459">
        <v>40.205589140000001</v>
      </c>
      <c r="I459">
        <v>97.183951539999995</v>
      </c>
      <c r="J459">
        <v>73.42926362</v>
      </c>
      <c r="K459" t="s">
        <v>5</v>
      </c>
      <c r="L459">
        <v>0.86499999999999999</v>
      </c>
      <c r="M459">
        <v>0</v>
      </c>
      <c r="N459">
        <f>LN(1+Table1[[#This Row],[Redness]])</f>
        <v>5.2377422989412716</v>
      </c>
      <c r="O459">
        <f>LN(1+Table1[[#This Row],[Greeness]])</f>
        <v>4.8536766009315704</v>
      </c>
      <c r="P459">
        <f>LN(1+Table1[[#This Row],[Blueness]])</f>
        <v>1.8362386574952647</v>
      </c>
      <c r="Q459">
        <f>LN(1+Table1[[#This Row],[L* lab]])</f>
        <v>4.0756094835330785</v>
      </c>
      <c r="R459">
        <f>LN(1+Table1[[#This Row],[a* lab]]+128)</f>
        <v>4.9698655216151844</v>
      </c>
      <c r="S459">
        <f>LN(1+Table1[[#This Row],[b* lab]]+128)</f>
        <v>5.2568745624904114</v>
      </c>
      <c r="T459">
        <f>LN(1+Table1[[#This Row],[Hue]])</f>
        <v>3.7185739058925305</v>
      </c>
      <c r="U459">
        <f>LN(1+Table1[[#This Row],[Saturation]])</f>
        <v>4.586842775731979</v>
      </c>
      <c r="V459">
        <f>LN(1+Table1[[#This Row],[Value]])</f>
        <v>4.3098491927315834</v>
      </c>
      <c r="W459" t="s">
        <v>26</v>
      </c>
    </row>
    <row r="460" spans="1:23" x14ac:dyDescent="0.3">
      <c r="A460">
        <v>50</v>
      </c>
      <c r="B460">
        <v>188.83324440000001</v>
      </c>
      <c r="C460">
        <v>129.45028199999999</v>
      </c>
      <c r="D460">
        <v>4.7503692720000004</v>
      </c>
      <c r="E460">
        <v>58.628560700000001</v>
      </c>
      <c r="F460">
        <v>14.472814680000001</v>
      </c>
      <c r="G460">
        <v>63.576890400000003</v>
      </c>
      <c r="H460">
        <v>40.644708299999998</v>
      </c>
      <c r="I460">
        <v>97.484357540000005</v>
      </c>
      <c r="J460">
        <v>74.052252719999998</v>
      </c>
      <c r="K460" t="s">
        <v>5</v>
      </c>
      <c r="L460">
        <v>0.86499999999999999</v>
      </c>
      <c r="M460">
        <v>0</v>
      </c>
      <c r="N460">
        <f>LN(1+Table1[[#This Row],[Redness]])</f>
        <v>5.246146025737894</v>
      </c>
      <c r="O460">
        <f>LN(1+Table1[[#This Row],[Greeness]])</f>
        <v>4.8709921733281965</v>
      </c>
      <c r="P460">
        <f>LN(1+Table1[[#This Row],[Blueness]])</f>
        <v>1.7492640739645564</v>
      </c>
      <c r="Q460">
        <f>LN(1+Table1[[#This Row],[L* lab]])</f>
        <v>4.0881346656644357</v>
      </c>
      <c r="R460">
        <f>LN(1+Table1[[#This Row],[a* lab]]+128)</f>
        <v>4.9661455725140788</v>
      </c>
      <c r="S460">
        <f>LN(1+Table1[[#This Row],[b* lab]]+128)</f>
        <v>5.2604955046260038</v>
      </c>
      <c r="T460">
        <f>LN(1+Table1[[#This Row],[Hue]])</f>
        <v>3.7291743089204625</v>
      </c>
      <c r="U460">
        <f>LN(1+Table1[[#This Row],[Saturation]])</f>
        <v>4.5898977288664167</v>
      </c>
      <c r="V460">
        <f>LN(1+Table1[[#This Row],[Value]])</f>
        <v>4.3181845738848219</v>
      </c>
      <c r="W460" t="s">
        <v>26</v>
      </c>
    </row>
    <row r="461" spans="1:23" x14ac:dyDescent="0.3">
      <c r="A461">
        <v>50</v>
      </c>
      <c r="B461">
        <v>191.38059999999999</v>
      </c>
      <c r="C461">
        <v>132.91728119999999</v>
      </c>
      <c r="D461">
        <v>6.2232726009999997</v>
      </c>
      <c r="E461">
        <v>59.791008830000003</v>
      </c>
      <c r="F461">
        <v>13.72253308</v>
      </c>
      <c r="G461">
        <v>64.279288260000001</v>
      </c>
      <c r="H461">
        <v>41.055034790000001</v>
      </c>
      <c r="I461">
        <v>96.748221810000004</v>
      </c>
      <c r="J461">
        <v>75.051215679999999</v>
      </c>
      <c r="K461" t="s">
        <v>5</v>
      </c>
      <c r="L461">
        <v>0.86499999999999999</v>
      </c>
      <c r="M461">
        <v>0</v>
      </c>
      <c r="N461">
        <f>LN(1+Table1[[#This Row],[Redness]])</f>
        <v>5.2594757015469265</v>
      </c>
      <c r="O461">
        <f>LN(1+Table1[[#This Row],[Greeness]])</f>
        <v>4.897222304862443</v>
      </c>
      <c r="P461">
        <f>LN(1+Table1[[#This Row],[Blueness]])</f>
        <v>1.977308119046012</v>
      </c>
      <c r="Q461">
        <f>LN(1+Table1[[#This Row],[L* lab]])</f>
        <v>4.1074418969511095</v>
      </c>
      <c r="R461">
        <f>LN(1+Table1[[#This Row],[a* lab]]+128)</f>
        <v>4.9609024172728491</v>
      </c>
      <c r="S461">
        <f>LN(1+Table1[[#This Row],[b* lab]]+128)</f>
        <v>5.264136232310034</v>
      </c>
      <c r="T461">
        <f>LN(1+Table1[[#This Row],[Hue]])</f>
        <v>3.7389791126640883</v>
      </c>
      <c r="U461">
        <f>LN(1+Table1[[#This Row],[Saturation]])</f>
        <v>4.5823950074979676</v>
      </c>
      <c r="V461">
        <f>LN(1+Table1[[#This Row],[Value]])</f>
        <v>4.3314070038503854</v>
      </c>
      <c r="W461" t="s">
        <v>26</v>
      </c>
    </row>
    <row r="462" spans="1:23" x14ac:dyDescent="0.3">
      <c r="A462">
        <v>50</v>
      </c>
      <c r="B462">
        <v>181.540799996657</v>
      </c>
      <c r="C462">
        <v>132.62379241555399</v>
      </c>
      <c r="D462">
        <v>5.0171661120872404</v>
      </c>
      <c r="E462">
        <v>58.577548216992497</v>
      </c>
      <c r="F462">
        <v>9.4366386970402996</v>
      </c>
      <c r="G462">
        <v>63.1027262921518</v>
      </c>
      <c r="H462">
        <v>43.373215301099997</v>
      </c>
      <c r="I462">
        <v>97.236342402270097</v>
      </c>
      <c r="J462">
        <v>71.192470586924401</v>
      </c>
      <c r="K462" t="s">
        <v>5</v>
      </c>
      <c r="L462">
        <v>0.86499999999999999</v>
      </c>
      <c r="M462">
        <v>0</v>
      </c>
      <c r="N462">
        <f>LN(1+Table1[[#This Row],[Redness]])</f>
        <v>5.206973709661888</v>
      </c>
      <c r="O462">
        <f>LN(1+Table1[[#This Row],[Greeness]])</f>
        <v>4.8950283321897174</v>
      </c>
      <c r="P462">
        <f>LN(1+Table1[[#This Row],[Blueness]])</f>
        <v>1.7946164029848233</v>
      </c>
      <c r="Q462">
        <f>LN(1+Table1[[#This Row],[L* lab]])</f>
        <v>4.0872787953305263</v>
      </c>
      <c r="R462">
        <f>LN(1+Table1[[#This Row],[a* lab]]+128)</f>
        <v>4.9304127386185854</v>
      </c>
      <c r="S462">
        <f>LN(1+Table1[[#This Row],[b* lab]]+128)</f>
        <v>5.2580302617204042</v>
      </c>
      <c r="T462">
        <f>LN(1+Table1[[#This Row],[Hue]])</f>
        <v>3.7926360284200311</v>
      </c>
      <c r="U462">
        <f>LN(1+Table1[[#This Row],[Saturation]])</f>
        <v>4.5873762324584817</v>
      </c>
      <c r="V462">
        <f>LN(1+Table1[[#This Row],[Value]])</f>
        <v>4.279335754961008</v>
      </c>
    </row>
    <row r="463" spans="1:23" x14ac:dyDescent="0.3">
      <c r="A463">
        <v>50</v>
      </c>
      <c r="B463">
        <v>177.73850555228199</v>
      </c>
      <c r="C463">
        <v>129.842298596239</v>
      </c>
      <c r="D463">
        <v>3.9887528900872402</v>
      </c>
      <c r="E463">
        <v>57.432401277359297</v>
      </c>
      <c r="F463">
        <v>9.2420070762033593</v>
      </c>
      <c r="G463">
        <v>62.268235868253399</v>
      </c>
      <c r="H463">
        <v>43.460279089146098</v>
      </c>
      <c r="I463">
        <v>97.755830748270796</v>
      </c>
      <c r="J463">
        <v>69.701374726385396</v>
      </c>
      <c r="K463" t="s">
        <v>5</v>
      </c>
      <c r="L463">
        <v>0.86499999999999999</v>
      </c>
      <c r="M463">
        <v>0</v>
      </c>
      <c r="N463">
        <f>LN(1+Table1[[#This Row],[Redness]])</f>
        <v>5.1859238749038692</v>
      </c>
      <c r="O463">
        <f>LN(1+Table1[[#This Row],[Greeness]])</f>
        <v>4.8739927705091342</v>
      </c>
      <c r="P463">
        <f>LN(1+Table1[[#This Row],[Blueness]])</f>
        <v>1.6071859567015589</v>
      </c>
      <c r="Q463">
        <f>LN(1+Table1[[#This Row],[L* lab]])</f>
        <v>4.0678705523736092</v>
      </c>
      <c r="R463">
        <f>LN(1+Table1[[#This Row],[a* lab]]+128)</f>
        <v>4.9290058237307548</v>
      </c>
      <c r="S463">
        <f>LN(1+Table1[[#This Row],[b* lab]]+128)</f>
        <v>5.2536768191061487</v>
      </c>
      <c r="T463">
        <f>LN(1+Table1[[#This Row],[Hue]])</f>
        <v>3.7945961858250774</v>
      </c>
      <c r="U463">
        <f>LN(1+Table1[[#This Row],[Saturation]])</f>
        <v>4.5926504475902208</v>
      </c>
      <c r="V463">
        <f>LN(1+Table1[[#This Row],[Value]])</f>
        <v>4.2584650172168148</v>
      </c>
    </row>
    <row r="464" spans="1:23" x14ac:dyDescent="0.3">
      <c r="A464">
        <v>50</v>
      </c>
      <c r="B464">
        <v>176.29851110786399</v>
      </c>
      <c r="C464">
        <v>129.346126485529</v>
      </c>
      <c r="D464">
        <v>3.6769903844553999</v>
      </c>
      <c r="E464">
        <v>57.1407368911159</v>
      </c>
      <c r="F464">
        <v>8.85987958578127</v>
      </c>
      <c r="G464">
        <v>62.042918239851701</v>
      </c>
      <c r="H464">
        <v>43.680232536857297</v>
      </c>
      <c r="I464">
        <v>97.914338379065597</v>
      </c>
      <c r="J464">
        <v>69.136671022692099</v>
      </c>
      <c r="K464" t="s">
        <v>5</v>
      </c>
      <c r="L464">
        <v>0.86499999999999999</v>
      </c>
      <c r="M464">
        <v>0</v>
      </c>
      <c r="N464">
        <f>LN(1+Table1[[#This Row],[Redness]])</f>
        <v>5.1778348154581231</v>
      </c>
      <c r="O464">
        <f>LN(1+Table1[[#This Row],[Greeness]])</f>
        <v>4.8701934236781277</v>
      </c>
      <c r="P464">
        <f>LN(1+Table1[[#This Row],[Blueness]])</f>
        <v>1.5426548228201904</v>
      </c>
      <c r="Q464">
        <f>LN(1+Table1[[#This Row],[L* lab]])</f>
        <v>4.0628665694762081</v>
      </c>
      <c r="R464">
        <f>LN(1+Table1[[#This Row],[a* lab]]+128)</f>
        <v>4.9262378040042103</v>
      </c>
      <c r="S464">
        <f>LN(1+Table1[[#This Row],[b* lab]]+128)</f>
        <v>5.2524981056311795</v>
      </c>
      <c r="T464">
        <f>LN(1+Table1[[#This Row],[Hue]])</f>
        <v>3.79953117868292</v>
      </c>
      <c r="U464">
        <f>LN(1+Table1[[#This Row],[Saturation]])</f>
        <v>4.5942542066750498</v>
      </c>
      <c r="V464">
        <f>LN(1+Table1[[#This Row],[Value]])</f>
        <v>4.2504457816907859</v>
      </c>
    </row>
    <row r="465" spans="1:23" x14ac:dyDescent="0.3">
      <c r="A465">
        <v>50</v>
      </c>
      <c r="B465">
        <v>174.967822219</v>
      </c>
      <c r="C465">
        <v>130.178637409537</v>
      </c>
      <c r="D465">
        <v>3.3828524865574998</v>
      </c>
      <c r="E465">
        <v>57.203716804588304</v>
      </c>
      <c r="F465">
        <v>7.7802764705268004</v>
      </c>
      <c r="G465">
        <v>62.059072316417598</v>
      </c>
      <c r="H465">
        <v>44.3380740588278</v>
      </c>
      <c r="I465">
        <v>98.066585933541901</v>
      </c>
      <c r="J465">
        <v>68.614832242745294</v>
      </c>
      <c r="K465" t="s">
        <v>5</v>
      </c>
      <c r="L465">
        <v>0.86499999999999999</v>
      </c>
      <c r="M465">
        <v>0</v>
      </c>
      <c r="N465">
        <f>LN(1+Table1[[#This Row],[Redness]])</f>
        <v>5.1703011500218841</v>
      </c>
      <c r="O465">
        <f>LN(1+Table1[[#This Row],[Greeness]])</f>
        <v>4.8765600386301893</v>
      </c>
      <c r="P465">
        <f>LN(1+Table1[[#This Row],[Blueness]])</f>
        <v>1.4776997650540806</v>
      </c>
      <c r="Q465">
        <f>LN(1+Table1[[#This Row],[L* lab]])</f>
        <v>4.0639492153200543</v>
      </c>
      <c r="R465">
        <f>LN(1+Table1[[#This Row],[a* lab]]+128)</f>
        <v>4.9183758169467993</v>
      </c>
      <c r="S465">
        <f>LN(1+Table1[[#This Row],[b* lab]]+128)</f>
        <v>5.2525826593732425</v>
      </c>
      <c r="T465">
        <f>LN(1+Table1[[#This Row],[Hue]])</f>
        <v>3.81414716642746</v>
      </c>
      <c r="U465">
        <f>LN(1+Table1[[#This Row],[Saturation]])</f>
        <v>4.5957922092378327</v>
      </c>
      <c r="V465">
        <f>LN(1+Table1[[#This Row],[Value]])</f>
        <v>4.2429776515723123</v>
      </c>
    </row>
    <row r="466" spans="1:23" x14ac:dyDescent="0.3">
      <c r="A466">
        <v>50</v>
      </c>
      <c r="B466">
        <v>172.660977774598</v>
      </c>
      <c r="C466">
        <v>128.76974883729</v>
      </c>
      <c r="D466">
        <v>3.7530553581648101</v>
      </c>
      <c r="E466">
        <v>56.580031360221597</v>
      </c>
      <c r="F466">
        <v>7.5150764189608399</v>
      </c>
      <c r="G466">
        <v>61.437652220025498</v>
      </c>
      <c r="H466">
        <v>44.408820506679497</v>
      </c>
      <c r="I466">
        <v>97.826344199750594</v>
      </c>
      <c r="J466">
        <v>67.710187362587703</v>
      </c>
      <c r="K466" t="s">
        <v>5</v>
      </c>
      <c r="L466">
        <v>0.86499999999999999</v>
      </c>
      <c r="M466">
        <v>0</v>
      </c>
      <c r="N466">
        <f>LN(1+Table1[[#This Row],[Redness]])</f>
        <v>5.1571049950128129</v>
      </c>
      <c r="O466">
        <f>LN(1+Table1[[#This Row],[Greeness]])</f>
        <v>4.8657617173021706</v>
      </c>
      <c r="P466">
        <f>LN(1+Table1[[#This Row],[Blueness]])</f>
        <v>1.5587876445585365</v>
      </c>
      <c r="Q466">
        <f>LN(1+Table1[[#This Row],[L* lab]])</f>
        <v>4.0531758298212832</v>
      </c>
      <c r="R466">
        <f>LN(1+Table1[[#This Row],[a* lab]]+128)</f>
        <v>4.9164350584816239</v>
      </c>
      <c r="S466">
        <f>LN(1+Table1[[#This Row],[b* lab]]+128)</f>
        <v>5.2493248560631036</v>
      </c>
      <c r="T466">
        <f>LN(1+Table1[[#This Row],[Hue]])</f>
        <v>3.8157063704646488</v>
      </c>
      <c r="U466">
        <f>LN(1+Table1[[#This Row],[Saturation]])</f>
        <v>4.5933642109091233</v>
      </c>
      <c r="V466">
        <f>LN(1+Table1[[#This Row],[Value]])</f>
        <v>4.2298974758998069</v>
      </c>
    </row>
    <row r="467" spans="1:23" x14ac:dyDescent="0.3">
      <c r="A467">
        <v>50</v>
      </c>
      <c r="B467">
        <v>179.037511107814</v>
      </c>
      <c r="C467">
        <v>133.610858860381</v>
      </c>
      <c r="D467">
        <v>4.0773425850373597</v>
      </c>
      <c r="E467">
        <v>58.548100140847701</v>
      </c>
      <c r="F467">
        <v>7.7419370249432102</v>
      </c>
      <c r="G467">
        <v>63.106496926151799</v>
      </c>
      <c r="H467">
        <v>44.421602025999697</v>
      </c>
      <c r="I467">
        <v>97.722632223935406</v>
      </c>
      <c r="J467">
        <v>70.210788669731201</v>
      </c>
      <c r="K467" t="s">
        <v>5</v>
      </c>
      <c r="L467">
        <v>0.86499999999999999</v>
      </c>
      <c r="M467">
        <v>0</v>
      </c>
      <c r="N467">
        <f>LN(1+Table1[[#This Row],[Redness]])</f>
        <v>5.1931652242223905</v>
      </c>
      <c r="O467">
        <f>LN(1+Table1[[#This Row],[Greeness]])</f>
        <v>4.902388088996549</v>
      </c>
      <c r="P467">
        <f>LN(1+Table1[[#This Row],[Blueness]])</f>
        <v>1.6247880115373332</v>
      </c>
      <c r="Q467">
        <f>LN(1+Table1[[#This Row],[L* lab]])</f>
        <v>4.0867843916962023</v>
      </c>
      <c r="R467">
        <f>LN(1+Table1[[#This Row],[a* lab]]+128)</f>
        <v>4.9180954781374222</v>
      </c>
      <c r="S467">
        <f>LN(1+Table1[[#This Row],[b* lab]]+128)</f>
        <v>5.2580498897447843</v>
      </c>
      <c r="T467">
        <f>LN(1+Table1[[#This Row],[Hue]])</f>
        <v>3.8159878074336326</v>
      </c>
      <c r="U467">
        <f>LN(1+Table1[[#This Row],[Saturation]])</f>
        <v>4.5923142233341832</v>
      </c>
      <c r="V467">
        <f>LN(1+Table1[[#This Row],[Value]])</f>
        <v>4.2656443331992557</v>
      </c>
    </row>
    <row r="468" spans="1:23" x14ac:dyDescent="0.3">
      <c r="A468">
        <v>50</v>
      </c>
      <c r="B468">
        <v>177.78453333005899</v>
      </c>
      <c r="C468">
        <v>132.82788125857499</v>
      </c>
      <c r="D468">
        <v>3.7424222614893901</v>
      </c>
      <c r="E468">
        <v>58.205029933106999</v>
      </c>
      <c r="F468">
        <v>7.5986765627478601</v>
      </c>
      <c r="G468">
        <v>62.849401802160003</v>
      </c>
      <c r="H468">
        <v>44.501457102951598</v>
      </c>
      <c r="I468">
        <v>97.894967469109602</v>
      </c>
      <c r="J468">
        <v>69.719424835317596</v>
      </c>
      <c r="K468" t="s">
        <v>5</v>
      </c>
      <c r="L468">
        <v>0.86499999999999999</v>
      </c>
      <c r="M468">
        <v>0</v>
      </c>
      <c r="N468">
        <f>LN(1+Table1[[#This Row],[Redness]])</f>
        <v>5.1861813563695405</v>
      </c>
      <c r="O468">
        <f>LN(1+Table1[[#This Row],[Greeness]])</f>
        <v>4.8965545060949403</v>
      </c>
      <c r="P468">
        <f>LN(1+Table1[[#This Row],[Blueness]])</f>
        <v>1.5565480308085278</v>
      </c>
      <c r="Q468">
        <f>LN(1+Table1[[#This Row],[L* lab]])</f>
        <v>4.0810065033668987</v>
      </c>
      <c r="R468">
        <f>LN(1+Table1[[#This Row],[a* lab]]+128)</f>
        <v>4.9170472586764911</v>
      </c>
      <c r="S468">
        <f>LN(1+Table1[[#This Row],[b* lab]]+128)</f>
        <v>5.2567106986383738</v>
      </c>
      <c r="T468">
        <f>LN(1+Table1[[#This Row],[Hue]])</f>
        <v>3.8177443496848342</v>
      </c>
      <c r="U468">
        <f>LN(1+Table1[[#This Row],[Saturation]])</f>
        <v>4.5940583522895864</v>
      </c>
      <c r="V468">
        <f>LN(1+Table1[[#This Row],[Value]])</f>
        <v>4.2587202853115524</v>
      </c>
    </row>
    <row r="469" spans="1:23" x14ac:dyDescent="0.3">
      <c r="A469">
        <v>50</v>
      </c>
      <c r="B469">
        <v>177.54762221895299</v>
      </c>
      <c r="C469">
        <v>132.73710350119899</v>
      </c>
      <c r="D469">
        <v>3.7467610538109701</v>
      </c>
      <c r="E469">
        <v>58.155247565866198</v>
      </c>
      <c r="F469">
        <v>7.5412169626841301</v>
      </c>
      <c r="G469">
        <v>62.800460800270898</v>
      </c>
      <c r="H469">
        <v>44.530392398282999</v>
      </c>
      <c r="I469">
        <v>97.889714879318106</v>
      </c>
      <c r="J469">
        <v>69.626518517236505</v>
      </c>
      <c r="K469" t="s">
        <v>5</v>
      </c>
      <c r="L469">
        <v>0.86499999999999999</v>
      </c>
      <c r="M469">
        <v>0</v>
      </c>
      <c r="N469">
        <f>LN(1+Table1[[#This Row],[Redness]])</f>
        <v>5.1848553567798596</v>
      </c>
      <c r="O469">
        <f>LN(1+Table1[[#This Row],[Greeness]])</f>
        <v>4.8958759587062337</v>
      </c>
      <c r="P469">
        <f>LN(1+Table1[[#This Row],[Blueness]])</f>
        <v>1.5574625020501038</v>
      </c>
      <c r="Q469">
        <f>LN(1+Table1[[#This Row],[L* lab]])</f>
        <v>4.0801653027339109</v>
      </c>
      <c r="R469">
        <f>LN(1+Table1[[#This Row],[a* lab]]+128)</f>
        <v>4.9166265248161256</v>
      </c>
      <c r="S469">
        <f>LN(1+Table1[[#This Row],[b* lab]]+128)</f>
        <v>5.2564555649504712</v>
      </c>
      <c r="T469">
        <f>LN(1+Table1[[#This Row],[Hue]])</f>
        <v>3.8183800677651418</v>
      </c>
      <c r="U469">
        <f>LN(1+Table1[[#This Row],[Saturation]])</f>
        <v>4.5940052380672878</v>
      </c>
      <c r="V469">
        <f>LN(1+Table1[[#This Row],[Value]])</f>
        <v>4.2574056903644717</v>
      </c>
    </row>
    <row r="470" spans="1:23" x14ac:dyDescent="0.3">
      <c r="A470">
        <v>50</v>
      </c>
      <c r="B470">
        <v>178.09315555227599</v>
      </c>
      <c r="C470">
        <v>133.31108114997701</v>
      </c>
      <c r="D470">
        <v>4.1091085446977704</v>
      </c>
      <c r="E470">
        <v>58.365240670448202</v>
      </c>
      <c r="F470">
        <v>7.4762964815264601</v>
      </c>
      <c r="G470">
        <v>62.9172941317658</v>
      </c>
      <c r="H470">
        <v>44.556489457789901</v>
      </c>
      <c r="I470">
        <v>97.6927195590671</v>
      </c>
      <c r="J470">
        <v>69.840453157755405</v>
      </c>
      <c r="K470" t="s">
        <v>5</v>
      </c>
      <c r="L470">
        <v>0.86499999999999999</v>
      </c>
      <c r="M470">
        <v>0</v>
      </c>
      <c r="N470">
        <f>LN(1+Table1[[#This Row],[Redness]])</f>
        <v>5.1879060925479035</v>
      </c>
      <c r="O470">
        <f>LN(1+Table1[[#This Row],[Greeness]])</f>
        <v>4.9001586105496457</v>
      </c>
      <c r="P470">
        <f>LN(1+Table1[[#This Row],[Blueness]])</f>
        <v>1.6310249359044895</v>
      </c>
      <c r="Q470">
        <f>LN(1+Table1[[#This Row],[L* lab]])</f>
        <v>4.0837088811893523</v>
      </c>
      <c r="R470">
        <f>LN(1+Table1[[#This Row],[a* lab]]+128)</f>
        <v>4.916150947395745</v>
      </c>
      <c r="S470">
        <f>LN(1+Table1[[#This Row],[b* lab]]+128)</f>
        <v>5.2570645194937704</v>
      </c>
      <c r="T470">
        <f>LN(1+Table1[[#This Row],[Hue]])</f>
        <v>3.8189530824449549</v>
      </c>
      <c r="U470">
        <f>LN(1+Table1[[#This Row],[Saturation]])</f>
        <v>4.5920111803861339</v>
      </c>
      <c r="V470">
        <f>LN(1+Table1[[#This Row],[Value]])</f>
        <v>4.2604302098133626</v>
      </c>
    </row>
    <row r="471" spans="1:23" x14ac:dyDescent="0.3">
      <c r="A471">
        <v>50</v>
      </c>
      <c r="B471">
        <v>176.64637777452501</v>
      </c>
      <c r="C471">
        <v>131.964214786013</v>
      </c>
      <c r="D471">
        <v>2.7449833501026499</v>
      </c>
      <c r="E471">
        <v>57.852523128143197</v>
      </c>
      <c r="F471">
        <v>7.5455880749177604</v>
      </c>
      <c r="G471">
        <v>62.709666830242703</v>
      </c>
      <c r="H471">
        <v>44.583621148156901</v>
      </c>
      <c r="I471">
        <v>98.446057380465206</v>
      </c>
      <c r="J471">
        <v>69.2730893233432</v>
      </c>
      <c r="K471" t="s">
        <v>5</v>
      </c>
      <c r="L471">
        <v>0.86499999999999999</v>
      </c>
      <c r="M471">
        <v>0</v>
      </c>
      <c r="N471">
        <f>LN(1+Table1[[#This Row],[Redness]])</f>
        <v>5.1797949325857893</v>
      </c>
      <c r="O471">
        <f>LN(1+Table1[[#This Row],[Greeness]])</f>
        <v>4.8900800302588436</v>
      </c>
      <c r="P471">
        <f>LN(1+Table1[[#This Row],[Blueness]])</f>
        <v>1.3204171710588057</v>
      </c>
      <c r="Q471">
        <f>LN(1+Table1[[#This Row],[L* lab]])</f>
        <v>4.0750347066724126</v>
      </c>
      <c r="R471">
        <f>LN(1+Table1[[#This Row],[a* lab]]+128)</f>
        <v>4.9166585374374119</v>
      </c>
      <c r="S471">
        <f>LN(1+Table1[[#This Row],[b* lab]]+128)</f>
        <v>5.255982075646366</v>
      </c>
      <c r="T471">
        <f>LN(1+Table1[[#This Row],[Hue]])</f>
        <v>3.8195484666503963</v>
      </c>
      <c r="U471">
        <f>LN(1+Table1[[#This Row],[Saturation]])</f>
        <v>4.5996153602754672</v>
      </c>
      <c r="V471">
        <f>LN(1+Table1[[#This Row],[Value]])</f>
        <v>4.252388927854402</v>
      </c>
    </row>
    <row r="472" spans="1:23" x14ac:dyDescent="0.3">
      <c r="A472">
        <v>50</v>
      </c>
      <c r="B472">
        <v>178.431133330047</v>
      </c>
      <c r="C472">
        <v>134.08443653172401</v>
      </c>
      <c r="D472">
        <v>3.7777159204125499</v>
      </c>
      <c r="E472">
        <v>58.6018143524227</v>
      </c>
      <c r="F472">
        <v>7.1976820277497904</v>
      </c>
      <c r="G472">
        <v>63.156800224684098</v>
      </c>
      <c r="H472">
        <v>44.765246238161502</v>
      </c>
      <c r="I472">
        <v>97.882815711636496</v>
      </c>
      <c r="J472">
        <v>69.972993462763895</v>
      </c>
      <c r="K472" t="s">
        <v>5</v>
      </c>
      <c r="L472">
        <v>0.86499999999999999</v>
      </c>
      <c r="M472">
        <v>0</v>
      </c>
      <c r="N472">
        <f>LN(1+Table1[[#This Row],[Redness]])</f>
        <v>5.1897914759842187</v>
      </c>
      <c r="O472">
        <f>LN(1+Table1[[#This Row],[Greeness]])</f>
        <v>4.9059000387130247</v>
      </c>
      <c r="P472">
        <f>LN(1+Table1[[#This Row],[Blueness]])</f>
        <v>1.563962591383135</v>
      </c>
      <c r="Q472">
        <f>LN(1+Table1[[#This Row],[L* lab]])</f>
        <v>4.087686015762694</v>
      </c>
      <c r="R472">
        <f>LN(1+Table1[[#This Row],[a* lab]]+128)</f>
        <v>4.9141073746847574</v>
      </c>
      <c r="S472">
        <f>LN(1+Table1[[#This Row],[b* lab]]+128)</f>
        <v>5.2583117065729468</v>
      </c>
      <c r="T472">
        <f>LN(1+Table1[[#This Row],[Hue]])</f>
        <v>3.8235249873130686</v>
      </c>
      <c r="U472">
        <f>LN(1+Table1[[#This Row],[Saturation]])</f>
        <v>4.5939354693520498</v>
      </c>
      <c r="V472">
        <f>LN(1+Table1[[#This Row],[Value]])</f>
        <v>4.2622994309169764</v>
      </c>
    </row>
    <row r="473" spans="1:23" x14ac:dyDescent="0.3">
      <c r="A473">
        <v>50</v>
      </c>
      <c r="B473">
        <v>180.041599996684</v>
      </c>
      <c r="C473">
        <v>135.63996951545801</v>
      </c>
      <c r="D473">
        <v>5.1449521568771699</v>
      </c>
      <c r="E473">
        <v>59.185498787547203</v>
      </c>
      <c r="F473">
        <v>7.0878738660561904</v>
      </c>
      <c r="G473">
        <v>63.431469815991903</v>
      </c>
      <c r="H473">
        <v>44.767587819557697</v>
      </c>
      <c r="I473">
        <v>97.1423536799429</v>
      </c>
      <c r="J473">
        <v>70.604549018307793</v>
      </c>
      <c r="K473" t="s">
        <v>5</v>
      </c>
      <c r="L473">
        <v>0.86499999999999999</v>
      </c>
      <c r="M473">
        <v>0</v>
      </c>
      <c r="N473">
        <f>LN(1+Table1[[#This Row],[Redness]])</f>
        <v>5.1987268390938075</v>
      </c>
      <c r="O473">
        <f>LN(1+Table1[[#This Row],[Greeness]])</f>
        <v>4.9173495069390789</v>
      </c>
      <c r="P473">
        <f>LN(1+Table1[[#This Row],[Blueness]])</f>
        <v>1.8156309572882867</v>
      </c>
      <c r="Q473">
        <f>LN(1+Table1[[#This Row],[L* lab]])</f>
        <v>4.097431439369795</v>
      </c>
      <c r="R473">
        <f>LN(1+Table1[[#This Row],[a* lab]]+128)</f>
        <v>4.9133008084511127</v>
      </c>
      <c r="S473">
        <f>LN(1+Table1[[#This Row],[b* lab]]+128)</f>
        <v>5.2597400893885693</v>
      </c>
      <c r="T473">
        <f>LN(1+Table1[[#This Row],[Hue]])</f>
        <v>3.8235761510603909</v>
      </c>
      <c r="U473">
        <f>LN(1+Table1[[#This Row],[Saturation]])</f>
        <v>4.5864190132551883</v>
      </c>
      <c r="V473">
        <f>LN(1+Table1[[#This Row],[Value]])</f>
        <v>4.2711586057236639</v>
      </c>
    </row>
    <row r="474" spans="1:23" x14ac:dyDescent="0.3">
      <c r="A474">
        <v>100</v>
      </c>
      <c r="B474">
        <v>179.94659440000001</v>
      </c>
      <c r="C474">
        <v>112.1793692</v>
      </c>
      <c r="D474">
        <v>4.0391767679999999</v>
      </c>
      <c r="E474">
        <v>53.312022120000002</v>
      </c>
      <c r="F474">
        <v>20.078806799999999</v>
      </c>
      <c r="G474">
        <v>59.546858219999997</v>
      </c>
      <c r="H474">
        <v>36.885377740000003</v>
      </c>
      <c r="I474">
        <v>97.755346919999994</v>
      </c>
      <c r="J474">
        <v>70.567291940000004</v>
      </c>
      <c r="K474" t="s">
        <v>5</v>
      </c>
      <c r="L474">
        <v>1.73</v>
      </c>
      <c r="M474">
        <v>0</v>
      </c>
      <c r="N474">
        <f>LN(1+Table1[[#This Row],[Redness]])</f>
        <v>5.1982019291639476</v>
      </c>
      <c r="O474">
        <f>LN(1+Table1[[#This Row],[Greeness]])</f>
        <v>4.7289738982759797</v>
      </c>
      <c r="P474">
        <f>LN(1+Table1[[#This Row],[Blueness]])</f>
        <v>1.6172427290593587</v>
      </c>
      <c r="Q474">
        <f>LN(1+Table1[[#This Row],[L* lab]])</f>
        <v>3.9947456042757397</v>
      </c>
      <c r="R474">
        <f>LN(1+Table1[[#This Row],[a* lab]]+128)</f>
        <v>5.0044750708226546</v>
      </c>
      <c r="S474">
        <f>LN(1+Table1[[#This Row],[b* lab]]+128)</f>
        <v>5.2393465607174887</v>
      </c>
      <c r="T474">
        <f>LN(1+Table1[[#This Row],[Hue]])</f>
        <v>3.6345652260344345</v>
      </c>
      <c r="U474">
        <f>LN(1+Table1[[#This Row],[Saturation]])</f>
        <v>4.5926455483407045</v>
      </c>
      <c r="V474">
        <f>LN(1+Table1[[#This Row],[Value]])</f>
        <v>4.2706381531137172</v>
      </c>
      <c r="W474" t="s">
        <v>26</v>
      </c>
    </row>
    <row r="475" spans="1:23" x14ac:dyDescent="0.3">
      <c r="A475">
        <v>100</v>
      </c>
      <c r="B475">
        <v>168.07499999690501</v>
      </c>
      <c r="C475">
        <v>109.09239770414101</v>
      </c>
      <c r="D475">
        <v>6.96793102778072</v>
      </c>
      <c r="E475">
        <v>51.043407641197803</v>
      </c>
      <c r="F475">
        <v>16.525847960126001</v>
      </c>
      <c r="G475">
        <v>56.686699017744601</v>
      </c>
      <c r="H475">
        <v>38.033514232425901</v>
      </c>
      <c r="I475">
        <v>95.854272778278101</v>
      </c>
      <c r="J475">
        <v>65.911764704668698</v>
      </c>
      <c r="K475" t="s">
        <v>5</v>
      </c>
      <c r="L475">
        <v>1.73</v>
      </c>
      <c r="M475">
        <v>0</v>
      </c>
      <c r="N475">
        <f>LN(1+Table1[[#This Row],[Redness]])</f>
        <v>5.1303424034426985</v>
      </c>
      <c r="O475">
        <f>LN(1+Table1[[#This Row],[Greeness]])</f>
        <v>4.7013199923359315</v>
      </c>
      <c r="P475">
        <f>LN(1+Table1[[#This Row],[Blueness]])</f>
        <v>2.0754248640928141</v>
      </c>
      <c r="Q475">
        <f>LN(1+Table1[[#This Row],[L* lab]])</f>
        <v>3.9520781326918537</v>
      </c>
      <c r="R475">
        <f>LN(1+Table1[[#This Row],[a* lab]]+128)</f>
        <v>4.9803537200442829</v>
      </c>
      <c r="S475">
        <f>LN(1+Table1[[#This Row],[b* lab]]+128)</f>
        <v>5.2240608396099937</v>
      </c>
      <c r="T475">
        <f>LN(1+Table1[[#This Row],[Hue]])</f>
        <v>3.6644206164020021</v>
      </c>
      <c r="U475">
        <f>LN(1+Table1[[#This Row],[Saturation]])</f>
        <v>4.573207506363369</v>
      </c>
      <c r="V475">
        <f>LN(1+Table1[[#This Row],[Value]])</f>
        <v>4.2033748067507517</v>
      </c>
    </row>
    <row r="476" spans="1:23" x14ac:dyDescent="0.3">
      <c r="A476">
        <v>100</v>
      </c>
      <c r="B476">
        <v>168.75182221911501</v>
      </c>
      <c r="C476">
        <v>109.762464220213</v>
      </c>
      <c r="D476">
        <v>6.6414744047473802</v>
      </c>
      <c r="E476">
        <v>51.294407428308702</v>
      </c>
      <c r="F476">
        <v>16.449502402930399</v>
      </c>
      <c r="G476">
        <v>56.965397171185003</v>
      </c>
      <c r="H476">
        <v>38.166961408367101</v>
      </c>
      <c r="I476">
        <v>96.064353962279696</v>
      </c>
      <c r="J476">
        <v>66.1771851839666</v>
      </c>
      <c r="K476" t="s">
        <v>5</v>
      </c>
      <c r="L476">
        <v>1.73</v>
      </c>
      <c r="M476">
        <v>0</v>
      </c>
      <c r="N476">
        <f>LN(1+Table1[[#This Row],[Redness]])</f>
        <v>5.1343375011035155</v>
      </c>
      <c r="O476">
        <f>LN(1+Table1[[#This Row],[Greeness]])</f>
        <v>4.7073879463417736</v>
      </c>
      <c r="P476">
        <f>LN(1+Table1[[#This Row],[Blueness]])</f>
        <v>2.0335905694738146</v>
      </c>
      <c r="Q476">
        <f>LN(1+Table1[[#This Row],[L* lab]])</f>
        <v>3.9568894328160673</v>
      </c>
      <c r="R476">
        <f>LN(1+Table1[[#This Row],[a* lab]]+128)</f>
        <v>4.979828963848596</v>
      </c>
      <c r="S476">
        <f>LN(1+Table1[[#This Row],[b* lab]]+128)</f>
        <v>5.2255606196921658</v>
      </c>
      <c r="T476">
        <f>LN(1+Table1[[#This Row],[Hue]])</f>
        <v>3.6678335702078</v>
      </c>
      <c r="U476">
        <f>LN(1+Table1[[#This Row],[Saturation]])</f>
        <v>4.5753742014325267</v>
      </c>
      <c r="V476">
        <f>LN(1+Table1[[#This Row],[Value]])</f>
        <v>4.2073336836928563</v>
      </c>
    </row>
    <row r="477" spans="1:23" x14ac:dyDescent="0.3">
      <c r="A477">
        <v>100</v>
      </c>
      <c r="B477">
        <v>169.78528333020699</v>
      </c>
      <c r="C477">
        <v>110.873213970576</v>
      </c>
      <c r="D477">
        <v>7.7736825388347102</v>
      </c>
      <c r="E477">
        <v>51.702975436793402</v>
      </c>
      <c r="F477">
        <v>16.307971056913001</v>
      </c>
      <c r="G477">
        <v>57.0865723770399</v>
      </c>
      <c r="H477">
        <v>38.182277415247498</v>
      </c>
      <c r="I477">
        <v>95.421462693138096</v>
      </c>
      <c r="J477">
        <v>66.582464051061606</v>
      </c>
      <c r="K477" t="s">
        <v>5</v>
      </c>
      <c r="L477">
        <v>1.73</v>
      </c>
      <c r="M477">
        <v>0</v>
      </c>
      <c r="N477">
        <f>LN(1+Table1[[#This Row],[Redness]])</f>
        <v>5.1404071144701202</v>
      </c>
      <c r="O477">
        <f>LN(1+Table1[[#This Row],[Greeness]])</f>
        <v>4.7173662119587672</v>
      </c>
      <c r="P477">
        <f>LN(1+Table1[[#This Row],[Blueness]])</f>
        <v>2.1717566200555534</v>
      </c>
      <c r="Q477">
        <f>LN(1+Table1[[#This Row],[L* lab]])</f>
        <v>3.9646719138547195</v>
      </c>
      <c r="R477">
        <f>LN(1+Table1[[#This Row],[a* lab]]+128)</f>
        <v>4.978855428375808</v>
      </c>
      <c r="S477">
        <f>LN(1+Table1[[#This Row],[b* lab]]+128)</f>
        <v>5.2262120083155708</v>
      </c>
      <c r="T477">
        <f>LN(1+Table1[[#This Row],[Hue]])</f>
        <v>3.668224537811454</v>
      </c>
      <c r="U477">
        <f>LN(1+Table1[[#This Row],[Saturation]])</f>
        <v>4.5687288188804391</v>
      </c>
      <c r="V477">
        <f>LN(1+Table1[[#This Row],[Value]])</f>
        <v>4.2133485418682914</v>
      </c>
    </row>
    <row r="478" spans="1:23" x14ac:dyDescent="0.3">
      <c r="A478">
        <v>100</v>
      </c>
      <c r="B478">
        <v>185.8475</v>
      </c>
      <c r="C478">
        <v>120.3903174</v>
      </c>
      <c r="D478">
        <v>4.091678377</v>
      </c>
      <c r="E478">
        <v>56.043503749999999</v>
      </c>
      <c r="F478">
        <v>18.14552904</v>
      </c>
      <c r="G478">
        <v>61.742363609999998</v>
      </c>
      <c r="H478">
        <v>38.391718509999997</v>
      </c>
      <c r="I478">
        <v>97.798367810000002</v>
      </c>
      <c r="J478">
        <v>72.881372549999995</v>
      </c>
      <c r="K478" t="s">
        <v>5</v>
      </c>
      <c r="L478">
        <v>1.73</v>
      </c>
      <c r="M478">
        <v>0</v>
      </c>
      <c r="N478">
        <f>LN(1+Table1[[#This Row],[Redness]])</f>
        <v>5.2302927761256335</v>
      </c>
      <c r="O478">
        <f>LN(1+Table1[[#This Row],[Greeness]])</f>
        <v>4.7990111176192025</v>
      </c>
      <c r="P478">
        <f>LN(1+Table1[[#This Row],[Blueness]])</f>
        <v>1.6276075162887049</v>
      </c>
      <c r="Q478">
        <f>LN(1+Table1[[#This Row],[L* lab]])</f>
        <v>4.0438142004116751</v>
      </c>
      <c r="R478">
        <f>LN(1+Table1[[#This Row],[a* lab]]+128)</f>
        <v>4.9914220905277755</v>
      </c>
      <c r="S478">
        <f>LN(1+Table1[[#This Row],[b* lab]]+128)</f>
        <v>5.2509236358638596</v>
      </c>
      <c r="T478">
        <f>LN(1+Table1[[#This Row],[Hue]])</f>
        <v>3.67355560410933</v>
      </c>
      <c r="U478">
        <f>LN(1+Table1[[#This Row],[Saturation]])</f>
        <v>4.5930810844756627</v>
      </c>
      <c r="V478">
        <f>LN(1+Table1[[#This Row],[Value]])</f>
        <v>4.3024607332580898</v>
      </c>
      <c r="W478" t="s">
        <v>26</v>
      </c>
    </row>
    <row r="479" spans="1:23" x14ac:dyDescent="0.3">
      <c r="A479">
        <v>100</v>
      </c>
      <c r="B479">
        <v>171.149149996848</v>
      </c>
      <c r="C479">
        <v>112.924769065053</v>
      </c>
      <c r="D479">
        <v>6.3209204281182396</v>
      </c>
      <c r="E479">
        <v>52.379114440755899</v>
      </c>
      <c r="F479">
        <v>15.7491370013229</v>
      </c>
      <c r="G479">
        <v>57.930303975273297</v>
      </c>
      <c r="H479">
        <v>38.8054336017059</v>
      </c>
      <c r="I479">
        <v>96.306776616632504</v>
      </c>
      <c r="J479">
        <v>67.117313724254302</v>
      </c>
      <c r="K479" t="s">
        <v>5</v>
      </c>
      <c r="L479">
        <v>1.73</v>
      </c>
      <c r="M479">
        <v>0</v>
      </c>
      <c r="N479">
        <f>LN(1+Table1[[#This Row],[Redness]])</f>
        <v>5.1483612521995745</v>
      </c>
      <c r="O479">
        <f>LN(1+Table1[[#This Row],[Greeness]])</f>
        <v>4.7355383100691384</v>
      </c>
      <c r="P479">
        <f>LN(1+Table1[[#This Row],[Blueness]])</f>
        <v>1.9907360616146221</v>
      </c>
      <c r="Q479">
        <f>LN(1+Table1[[#This Row],[L* lab]])</f>
        <v>3.9774195541189452</v>
      </c>
      <c r="R479">
        <f>LN(1+Table1[[#This Row],[a* lab]]+128)</f>
        <v>4.9750021544410172</v>
      </c>
      <c r="S479">
        <f>LN(1+Table1[[#This Row],[b* lab]]+128)</f>
        <v>5.2307358413678564</v>
      </c>
      <c r="T479">
        <f>LN(1+Table1[[#This Row],[Hue]])</f>
        <v>3.6840034256279495</v>
      </c>
      <c r="U479">
        <f>LN(1+Table1[[#This Row],[Saturation]])</f>
        <v>4.5778686333919509</v>
      </c>
      <c r="V479">
        <f>LN(1+Table1[[#This Row],[Value]])</f>
        <v>4.2212314205520771</v>
      </c>
    </row>
    <row r="480" spans="1:23" x14ac:dyDescent="0.3">
      <c r="A480">
        <v>100</v>
      </c>
      <c r="B480">
        <v>191.12164720000001</v>
      </c>
      <c r="C480">
        <v>125.2089524</v>
      </c>
      <c r="D480">
        <v>3.6918039440000001</v>
      </c>
      <c r="E480">
        <v>57.867101820000002</v>
      </c>
      <c r="F480">
        <v>17.817628450000001</v>
      </c>
      <c r="G480">
        <v>63.365498379999998</v>
      </c>
      <c r="H480">
        <v>38.900042710000001</v>
      </c>
      <c r="I480">
        <v>98.068348619999995</v>
      </c>
      <c r="J480">
        <v>74.949665580000001</v>
      </c>
      <c r="K480" t="s">
        <v>5</v>
      </c>
      <c r="L480">
        <v>1.73</v>
      </c>
      <c r="M480">
        <v>0</v>
      </c>
      <c r="N480">
        <f>LN(1+Table1[[#This Row],[Redness]])</f>
        <v>5.2581287505679057</v>
      </c>
      <c r="O480">
        <f>LN(1+Table1[[#This Row],[Greeness]])</f>
        <v>4.8379388857844621</v>
      </c>
      <c r="P480">
        <f>LN(1+Table1[[#This Row],[Blueness]])</f>
        <v>1.5458171447519642</v>
      </c>
      <c r="Q480">
        <f>LN(1+Table1[[#This Row],[L* lab]])</f>
        <v>4.0752823916601582</v>
      </c>
      <c r="R480">
        <f>LN(1+Table1[[#This Row],[a* lab]]+128)</f>
        <v>4.9891911937800764</v>
      </c>
      <c r="S480">
        <f>LN(1+Table1[[#This Row],[b* lab]]+128)</f>
        <v>5.2593971998021587</v>
      </c>
      <c r="T480">
        <f>LN(1+Table1[[#This Row],[Hue]])</f>
        <v>3.6863773943213101</v>
      </c>
      <c r="U480">
        <f>LN(1+Table1[[#This Row],[Saturation]])</f>
        <v>4.5958100020259867</v>
      </c>
      <c r="V480">
        <f>LN(1+Table1[[#This Row],[Value]])</f>
        <v>4.3300708258721139</v>
      </c>
      <c r="W480" t="s">
        <v>26</v>
      </c>
    </row>
    <row r="481" spans="1:23" x14ac:dyDescent="0.3">
      <c r="A481">
        <v>100</v>
      </c>
      <c r="B481">
        <v>162.19891666368</v>
      </c>
      <c r="C481">
        <v>109.32618098493199</v>
      </c>
      <c r="D481">
        <v>7.2988764397972004</v>
      </c>
      <c r="E481">
        <v>50.364112274811497</v>
      </c>
      <c r="F481">
        <v>13.7224199078157</v>
      </c>
      <c r="G481">
        <v>55.798537420704797</v>
      </c>
      <c r="H481">
        <v>39.519926940369402</v>
      </c>
      <c r="I481">
        <v>95.500046122421693</v>
      </c>
      <c r="J481">
        <v>63.607418299482397</v>
      </c>
      <c r="K481" t="s">
        <v>5</v>
      </c>
      <c r="L481">
        <v>1.73</v>
      </c>
      <c r="M481">
        <v>0</v>
      </c>
      <c r="N481">
        <f>LN(1+Table1[[#This Row],[Redness]])</f>
        <v>5.0949698044177785</v>
      </c>
      <c r="O481">
        <f>LN(1+Table1[[#This Row],[Greeness]])</f>
        <v>4.7034412596977457</v>
      </c>
      <c r="P481">
        <f>LN(1+Table1[[#This Row],[Blueness]])</f>
        <v>2.1161201369402507</v>
      </c>
      <c r="Q481">
        <f>LN(1+Table1[[#This Row],[L* lab]])</f>
        <v>3.9389397238324491</v>
      </c>
      <c r="R481">
        <f>LN(1+Table1[[#This Row],[a* lab]]+128)</f>
        <v>4.960901624320071</v>
      </c>
      <c r="S481">
        <f>LN(1+Table1[[#This Row],[b* lab]]+128)</f>
        <v>5.2192662447861391</v>
      </c>
      <c r="T481">
        <f>LN(1+Table1[[#This Row],[Hue]])</f>
        <v>3.7017938763277565</v>
      </c>
      <c r="U481">
        <f>LN(1+Table1[[#This Row],[Saturation]])</f>
        <v>4.5695434862973823</v>
      </c>
      <c r="V481">
        <f>LN(1+Table1[[#This Row],[Value]])</f>
        <v>4.1683292385529089</v>
      </c>
    </row>
    <row r="482" spans="1:23" x14ac:dyDescent="0.3">
      <c r="A482">
        <v>100</v>
      </c>
      <c r="B482">
        <v>163.696577774763</v>
      </c>
      <c r="C482">
        <v>110.589175145524</v>
      </c>
      <c r="D482">
        <v>7.1557962909595103</v>
      </c>
      <c r="E482">
        <v>50.869471923663902</v>
      </c>
      <c r="F482">
        <v>13.688885595116799</v>
      </c>
      <c r="G482">
        <v>56.2665287432349</v>
      </c>
      <c r="H482">
        <v>39.644638748120499</v>
      </c>
      <c r="I482">
        <v>95.628621936858394</v>
      </c>
      <c r="J482">
        <v>64.194736382260203</v>
      </c>
      <c r="K482" t="s">
        <v>5</v>
      </c>
      <c r="L482">
        <v>1.73</v>
      </c>
      <c r="M482">
        <v>0</v>
      </c>
      <c r="N482">
        <f>LN(1+Table1[[#This Row],[Redness]])</f>
        <v>5.1041048584295456</v>
      </c>
      <c r="O482">
        <f>LN(1+Table1[[#This Row],[Greeness]])</f>
        <v>4.7148240483387998</v>
      </c>
      <c r="P482">
        <f>LN(1+Table1[[#This Row],[Blueness]])</f>
        <v>2.0987288758136668</v>
      </c>
      <c r="Q482">
        <f>LN(1+Table1[[#This Row],[L* lab]])</f>
        <v>3.9487304075454137</v>
      </c>
      <c r="R482">
        <f>LN(1+Table1[[#This Row],[a* lab]]+128)</f>
        <v>4.9606666349401367</v>
      </c>
      <c r="S482">
        <f>LN(1+Table1[[#This Row],[b* lab]]+128)</f>
        <v>5.2217954841810474</v>
      </c>
      <c r="T482">
        <f>LN(1+Table1[[#This Row],[Hue]])</f>
        <v>3.7048669391807003</v>
      </c>
      <c r="U482">
        <f>LN(1+Table1[[#This Row],[Saturation]])</f>
        <v>4.5708749906744881</v>
      </c>
      <c r="V482">
        <f>LN(1+Table1[[#This Row],[Value]])</f>
        <v>4.177378735340306</v>
      </c>
    </row>
    <row r="483" spans="1:23" x14ac:dyDescent="0.3">
      <c r="A483">
        <v>100</v>
      </c>
      <c r="B483">
        <v>164.675733330301</v>
      </c>
      <c r="C483">
        <v>111.72779711184501</v>
      </c>
      <c r="D483">
        <v>8.1987508559834996</v>
      </c>
      <c r="E483">
        <v>51.280013494639597</v>
      </c>
      <c r="F483">
        <v>13.5078328155109</v>
      </c>
      <c r="G483">
        <v>56.411473484400702</v>
      </c>
      <c r="H483">
        <v>39.697485707658302</v>
      </c>
      <c r="I483">
        <v>95.021275636563402</v>
      </c>
      <c r="J483">
        <v>64.578718953059294</v>
      </c>
      <c r="K483" t="s">
        <v>5</v>
      </c>
      <c r="L483">
        <v>1.73</v>
      </c>
      <c r="M483">
        <v>0</v>
      </c>
      <c r="N483">
        <f>LN(1+Table1[[#This Row],[Redness]])</f>
        <v>5.1100324642828951</v>
      </c>
      <c r="O483">
        <f>LN(1+Table1[[#This Row],[Greeness]])</f>
        <v>4.7249760375885179</v>
      </c>
      <c r="P483">
        <f>LN(1+Table1[[#This Row],[Blueness]])</f>
        <v>2.2190676983129953</v>
      </c>
      <c r="Q483">
        <f>LN(1+Table1[[#This Row],[L* lab]])</f>
        <v>3.956614146878398</v>
      </c>
      <c r="R483">
        <f>LN(1+Table1[[#This Row],[a* lab]]+128)</f>
        <v>4.9593969653244603</v>
      </c>
      <c r="S483">
        <f>LN(1+Table1[[#This Row],[b* lab]]+128)</f>
        <v>5.2225775362460851</v>
      </c>
      <c r="T483">
        <f>LN(1+Table1[[#This Row],[Hue]])</f>
        <v>3.7061663143157082</v>
      </c>
      <c r="U483">
        <f>LN(1+Table1[[#This Row],[Saturation]])</f>
        <v>4.5645697881276845</v>
      </c>
      <c r="V483">
        <f>LN(1+Table1[[#This Row],[Value]])</f>
        <v>4.1832512371156039</v>
      </c>
    </row>
    <row r="484" spans="1:23" x14ac:dyDescent="0.3">
      <c r="A484">
        <v>100</v>
      </c>
      <c r="B484">
        <v>165.04799999696101</v>
      </c>
      <c r="C484">
        <v>112.109130359476</v>
      </c>
      <c r="D484">
        <v>8.3157260302768901</v>
      </c>
      <c r="E484">
        <v>51.423710139070103</v>
      </c>
      <c r="F484">
        <v>13.463672908937699</v>
      </c>
      <c r="G484">
        <v>56.507792640834602</v>
      </c>
      <c r="H484">
        <v>39.734026069676702</v>
      </c>
      <c r="I484">
        <v>94.961631749291101</v>
      </c>
      <c r="J484">
        <v>64.724705881161199</v>
      </c>
      <c r="K484" t="s">
        <v>5</v>
      </c>
      <c r="L484">
        <v>1.73</v>
      </c>
      <c r="M484">
        <v>0</v>
      </c>
      <c r="N484">
        <f>LN(1+Table1[[#This Row],[Redness]])</f>
        <v>5.112276903167027</v>
      </c>
      <c r="O484">
        <f>LN(1+Table1[[#This Row],[Greeness]])</f>
        <v>4.7283531080642245</v>
      </c>
      <c r="P484">
        <f>LN(1+Table1[[#This Row],[Blueness]])</f>
        <v>2.2317039430749381</v>
      </c>
      <c r="Q484">
        <f>LN(1+Table1[[#This Row],[L* lab]])</f>
        <v>3.9593589725572165</v>
      </c>
      <c r="R484">
        <f>LN(1+Table1[[#This Row],[a* lab]]+128)</f>
        <v>4.9590870402544827</v>
      </c>
      <c r="S484">
        <f>LN(1+Table1[[#This Row],[b* lab]]+128)</f>
        <v>5.2230968900106127</v>
      </c>
      <c r="T484">
        <f>LN(1+Table1[[#This Row],[Hue]])</f>
        <v>3.7070637645453153</v>
      </c>
      <c r="U484">
        <f>LN(1+Table1[[#This Row],[Saturation]])</f>
        <v>4.5639484423005658</v>
      </c>
      <c r="V484">
        <f>LN(1+Table1[[#This Row],[Value]])</f>
        <v>4.1854748956140906</v>
      </c>
    </row>
    <row r="485" spans="1:23" x14ac:dyDescent="0.3">
      <c r="A485">
        <v>100</v>
      </c>
      <c r="B485">
        <v>165.62688888583901</v>
      </c>
      <c r="C485">
        <v>112.72499688772901</v>
      </c>
      <c r="D485">
        <v>8.6448298166152693</v>
      </c>
      <c r="E485">
        <v>51.651682715981998</v>
      </c>
      <c r="F485">
        <v>13.3844063242258</v>
      </c>
      <c r="G485">
        <v>56.638152898372901</v>
      </c>
      <c r="H485">
        <v>39.780405871177102</v>
      </c>
      <c r="I485">
        <v>94.7805396365478</v>
      </c>
      <c r="J485">
        <v>64.951721131701603</v>
      </c>
      <c r="K485" t="s">
        <v>5</v>
      </c>
      <c r="L485">
        <v>1.73</v>
      </c>
      <c r="M485">
        <v>0</v>
      </c>
      <c r="N485">
        <f>LN(1+Table1[[#This Row],[Redness]])</f>
        <v>5.1157571145836904</v>
      </c>
      <c r="O485">
        <f>LN(1+Table1[[#This Row],[Greeness]])</f>
        <v>4.7337832260894288</v>
      </c>
      <c r="P485">
        <f>LN(1+Table1[[#This Row],[Blueness]])</f>
        <v>2.2664220014757674</v>
      </c>
      <c r="Q485">
        <f>LN(1+Table1[[#This Row],[L* lab]])</f>
        <v>3.9636981984867732</v>
      </c>
      <c r="R485">
        <f>LN(1+Table1[[#This Row],[a* lab]]+128)</f>
        <v>4.9585304868315392</v>
      </c>
      <c r="S485">
        <f>LN(1+Table1[[#This Row],[b* lab]]+128)</f>
        <v>5.2237993644116711</v>
      </c>
      <c r="T485">
        <f>LN(1+Table1[[#This Row],[Hue]])</f>
        <v>3.7082017177985249</v>
      </c>
      <c r="U485">
        <f>LN(1+Table1[[#This Row],[Saturation]])</f>
        <v>4.562059529024169</v>
      </c>
      <c r="V485">
        <f>LN(1+Table1[[#This Row],[Value]])</f>
        <v>4.1889229763466949</v>
      </c>
    </row>
    <row r="486" spans="1:23" x14ac:dyDescent="0.3">
      <c r="A486">
        <v>100</v>
      </c>
      <c r="B486">
        <v>194.68208609999999</v>
      </c>
      <c r="C486">
        <v>131.47832320000001</v>
      </c>
      <c r="D486">
        <v>3.7583607959999998</v>
      </c>
      <c r="E486">
        <v>59.827533369999998</v>
      </c>
      <c r="F486">
        <v>15.94877219</v>
      </c>
      <c r="G486">
        <v>64.895403349999995</v>
      </c>
      <c r="H486">
        <v>40.137482830000003</v>
      </c>
      <c r="I486">
        <v>98.069488120000003</v>
      </c>
      <c r="J486">
        <v>76.345916119999998</v>
      </c>
      <c r="K486" t="s">
        <v>5</v>
      </c>
      <c r="L486">
        <v>1.73</v>
      </c>
      <c r="M486">
        <v>0</v>
      </c>
      <c r="N486">
        <f>LN(1+Table1[[#This Row],[Redness]])</f>
        <v>5.2764913326547269</v>
      </c>
      <c r="O486">
        <f>LN(1+Table1[[#This Row],[Greeness]])</f>
        <v>4.8864190335520181</v>
      </c>
      <c r="P486">
        <f>LN(1+Table1[[#This Row],[Blueness]])</f>
        <v>1.5599032383459257</v>
      </c>
      <c r="Q486">
        <f>LN(1+Table1[[#This Row],[L* lab]])</f>
        <v>4.1080425379460985</v>
      </c>
      <c r="R486">
        <f>LN(1+Table1[[#This Row],[a* lab]]+128)</f>
        <v>4.9763803847557284</v>
      </c>
      <c r="S486">
        <f>LN(1+Table1[[#This Row],[b* lab]]+128)</f>
        <v>5.267318855675704</v>
      </c>
      <c r="T486">
        <f>LN(1+Table1[[#This Row],[Hue]])</f>
        <v>3.716919696888636</v>
      </c>
      <c r="U486">
        <f>LN(1+Table1[[#This Row],[Saturation]])</f>
        <v>4.5958215041198693</v>
      </c>
      <c r="V486">
        <f>LN(1+Table1[[#This Row],[Value]])</f>
        <v>4.3482877782108922</v>
      </c>
      <c r="W486" t="s">
        <v>26</v>
      </c>
    </row>
    <row r="487" spans="1:23" x14ac:dyDescent="0.3">
      <c r="A487">
        <v>100</v>
      </c>
      <c r="B487">
        <v>163.28795555254899</v>
      </c>
      <c r="C487">
        <v>111.842063752831</v>
      </c>
      <c r="D487">
        <v>7.5114328200992304</v>
      </c>
      <c r="E487">
        <v>51.136809595874801</v>
      </c>
      <c r="F487">
        <v>12.798185474566001</v>
      </c>
      <c r="G487">
        <v>56.360100356365699</v>
      </c>
      <c r="H487">
        <v>40.184732244379099</v>
      </c>
      <c r="I487">
        <v>95.399885561258102</v>
      </c>
      <c r="J487">
        <v>64.034492373548602</v>
      </c>
      <c r="K487" t="s">
        <v>5</v>
      </c>
      <c r="L487">
        <v>1.73</v>
      </c>
      <c r="M487">
        <v>0</v>
      </c>
      <c r="N487">
        <f>LN(1+Table1[[#This Row],[Redness]])</f>
        <v>5.1016207147027011</v>
      </c>
      <c r="O487">
        <f>LN(1+Table1[[#This Row],[Greeness]])</f>
        <v>4.7259891751621455</v>
      </c>
      <c r="P487">
        <f>LN(1+Table1[[#This Row],[Blueness]])</f>
        <v>2.1414102974021492</v>
      </c>
      <c r="Q487">
        <f>LN(1+Table1[[#This Row],[L* lab]])</f>
        <v>3.9538712174478507</v>
      </c>
      <c r="R487">
        <f>LN(1+Table1[[#This Row],[a* lab]]+128)</f>
        <v>4.954404817644968</v>
      </c>
      <c r="S487">
        <f>LN(1+Table1[[#This Row],[b* lab]]+128)</f>
        <v>5.2223004215372546</v>
      </c>
      <c r="T487">
        <f>LN(1+Table1[[#This Row],[Hue]])</f>
        <v>3.7180676110822666</v>
      </c>
      <c r="U487">
        <f>LN(1+Table1[[#This Row],[Saturation]])</f>
        <v>4.568505014491917</v>
      </c>
      <c r="V487">
        <f>LN(1+Table1[[#This Row],[Value]])</f>
        <v>4.1749177810504543</v>
      </c>
    </row>
    <row r="488" spans="1:23" x14ac:dyDescent="0.3">
      <c r="A488">
        <v>100</v>
      </c>
      <c r="B488">
        <v>166.08799999694099</v>
      </c>
      <c r="C488">
        <v>114.55037425526</v>
      </c>
      <c r="D488">
        <v>7.3800135228402803</v>
      </c>
      <c r="E488">
        <v>52.166642454746601</v>
      </c>
      <c r="F488">
        <v>12.544647758267301</v>
      </c>
      <c r="G488">
        <v>57.287744343754703</v>
      </c>
      <c r="H488">
        <v>40.516055850752799</v>
      </c>
      <c r="I488">
        <v>95.556564277385306</v>
      </c>
      <c r="J488">
        <v>65.132549018408497</v>
      </c>
      <c r="K488" t="s">
        <v>5</v>
      </c>
      <c r="L488">
        <v>1.73</v>
      </c>
      <c r="M488">
        <v>0</v>
      </c>
      <c r="N488">
        <f>LN(1+Table1[[#This Row],[Redness]])</f>
        <v>5.1185206197188853</v>
      </c>
      <c r="O488">
        <f>LN(1+Table1[[#This Row],[Greeness]])</f>
        <v>4.749706575618303</v>
      </c>
      <c r="P488">
        <f>LN(1+Table1[[#This Row],[Blueness]])</f>
        <v>2.1258495281967802</v>
      </c>
      <c r="Q488">
        <f>LN(1+Table1[[#This Row],[L* lab]])</f>
        <v>3.9734311781600704</v>
      </c>
      <c r="R488">
        <f>LN(1+Table1[[#This Row],[a* lab]]+128)</f>
        <v>4.9526151991741303</v>
      </c>
      <c r="S488">
        <f>LN(1+Table1[[#This Row],[b* lab]]+128)</f>
        <v>5.2272924909227374</v>
      </c>
      <c r="T488">
        <f>LN(1+Table1[[#This Row],[Hue]])</f>
        <v>3.7260802403847468</v>
      </c>
      <c r="U488">
        <f>LN(1+Table1[[#This Row],[Saturation]])</f>
        <v>4.5701289949361303</v>
      </c>
      <c r="V488">
        <f>LN(1+Table1[[#This Row],[Value]])</f>
        <v>4.1916610465116593</v>
      </c>
    </row>
    <row r="489" spans="1:23" x14ac:dyDescent="0.3">
      <c r="A489">
        <v>100</v>
      </c>
      <c r="B489">
        <v>167.885822219131</v>
      </c>
      <c r="C489">
        <v>117.28135141926199</v>
      </c>
      <c r="D489">
        <v>7.9899999465397</v>
      </c>
      <c r="E489">
        <v>53.077050999158097</v>
      </c>
      <c r="F489">
        <v>11.8371558853172</v>
      </c>
      <c r="G489">
        <v>57.926748797258497</v>
      </c>
      <c r="H489">
        <v>41.010959480755602</v>
      </c>
      <c r="I489">
        <v>95.240813166396507</v>
      </c>
      <c r="J489">
        <v>65.837577340835693</v>
      </c>
      <c r="K489" t="s">
        <v>5</v>
      </c>
      <c r="L489">
        <v>1.73</v>
      </c>
      <c r="M489">
        <v>0</v>
      </c>
      <c r="N489">
        <f>LN(1+Table1[[#This Row],[Redness]])</f>
        <v>5.1292228784262059</v>
      </c>
      <c r="O489">
        <f>LN(1+Table1[[#This Row],[Greeness]])</f>
        <v>4.773066120513036</v>
      </c>
      <c r="P489">
        <f>LN(1+Table1[[#This Row],[Blueness]])</f>
        <v>2.1961128425368881</v>
      </c>
      <c r="Q489">
        <f>LN(1+Table1[[#This Row],[L* lab]])</f>
        <v>3.9904098999068642</v>
      </c>
      <c r="R489">
        <f>LN(1+Table1[[#This Row],[a* lab]]+128)</f>
        <v>4.9476043001417214</v>
      </c>
      <c r="S489">
        <f>LN(1+Table1[[#This Row],[b* lab]]+128)</f>
        <v>5.2307168224514626</v>
      </c>
      <c r="T489">
        <f>LN(1+Table1[[#This Row],[Hue]])</f>
        <v>3.7379305242624334</v>
      </c>
      <c r="U489">
        <f>LN(1+Table1[[#This Row],[Saturation]])</f>
        <v>4.5668535209906249</v>
      </c>
      <c r="V489">
        <f>LN(1+Table1[[#This Row],[Value]])</f>
        <v>4.2022654574215261</v>
      </c>
    </row>
    <row r="490" spans="1:23" x14ac:dyDescent="0.3">
      <c r="A490">
        <v>200</v>
      </c>
      <c r="B490">
        <v>165.98808888583201</v>
      </c>
      <c r="C490">
        <v>106.605309374215</v>
      </c>
      <c r="D490">
        <v>5.79790429096722</v>
      </c>
      <c r="E490">
        <v>50.159989080293201</v>
      </c>
      <c r="F490">
        <v>16.966996549933299</v>
      </c>
      <c r="G490">
        <v>56.1759005928729</v>
      </c>
      <c r="H490">
        <v>37.757895842944002</v>
      </c>
      <c r="I490">
        <v>96.507035938611807</v>
      </c>
      <c r="J490">
        <v>65.093368190522597</v>
      </c>
      <c r="K490" t="s">
        <v>5</v>
      </c>
      <c r="L490">
        <v>3.46</v>
      </c>
      <c r="M490">
        <v>0</v>
      </c>
      <c r="N490">
        <f>LN(1+Table1[[#This Row],[Redness]])</f>
        <v>5.1179224858361412</v>
      </c>
      <c r="O490">
        <f>LN(1+Table1[[#This Row],[Greeness]])</f>
        <v>4.6784699901368612</v>
      </c>
      <c r="P490">
        <f>LN(1+Table1[[#This Row],[Blueness]])</f>
        <v>1.9166143721761706</v>
      </c>
      <c r="Q490">
        <f>LN(1+Table1[[#This Row],[L* lab]])</f>
        <v>3.9349577632683439</v>
      </c>
      <c r="R490">
        <f>LN(1+Table1[[#This Row],[a* lab]]+128)</f>
        <v>4.9833805451270976</v>
      </c>
      <c r="S490">
        <f>LN(1+Table1[[#This Row],[b* lab]]+128)</f>
        <v>5.2213061873565305</v>
      </c>
      <c r="T490">
        <f>LN(1+Table1[[#This Row],[Hue]])</f>
        <v>3.6573344987312328</v>
      </c>
      <c r="U490">
        <f>LN(1+Table1[[#This Row],[Saturation]])</f>
        <v>4.5799245388730849</v>
      </c>
      <c r="V490">
        <f>LN(1+Table1[[#This Row],[Value]])</f>
        <v>4.1910684118775468</v>
      </c>
    </row>
    <row r="491" spans="1:23" x14ac:dyDescent="0.3">
      <c r="A491">
        <v>200</v>
      </c>
      <c r="B491">
        <v>167.81459999691</v>
      </c>
      <c r="C491">
        <v>108.82133109839501</v>
      </c>
      <c r="D491">
        <v>6.9631116905989403</v>
      </c>
      <c r="E491">
        <v>50.9431953399896</v>
      </c>
      <c r="F491">
        <v>16.560887566245199</v>
      </c>
      <c r="G491">
        <v>56.599263617439597</v>
      </c>
      <c r="H491">
        <v>37.994632370635102</v>
      </c>
      <c r="I491">
        <v>95.850711624181002</v>
      </c>
      <c r="J491">
        <v>65.809647057611798</v>
      </c>
      <c r="K491" t="s">
        <v>5</v>
      </c>
      <c r="L491">
        <v>3.46</v>
      </c>
      <c r="M491">
        <v>0</v>
      </c>
      <c r="N491">
        <f>LN(1+Table1[[#This Row],[Redness]])</f>
        <v>5.1288010712942533</v>
      </c>
      <c r="O491">
        <f>LN(1+Table1[[#This Row],[Greeness]])</f>
        <v>4.6988547825056903</v>
      </c>
      <c r="P491">
        <f>LN(1+Table1[[#This Row],[Blueness]])</f>
        <v>2.074819839372966</v>
      </c>
      <c r="Q491">
        <f>LN(1+Table1[[#This Row],[L* lab]])</f>
        <v>3.9501507241727087</v>
      </c>
      <c r="R491">
        <f>LN(1+Table1[[#This Row],[a* lab]]+128)</f>
        <v>4.9805944703225462</v>
      </c>
      <c r="S491">
        <f>LN(1+Table1[[#This Row],[b* lab]]+128)</f>
        <v>5.2235898527657785</v>
      </c>
      <c r="T491">
        <f>LN(1+Table1[[#This Row],[Hue]])</f>
        <v>3.6634240051353824</v>
      </c>
      <c r="U491">
        <f>LN(1+Table1[[#This Row],[Saturation]])</f>
        <v>4.5731707375201873</v>
      </c>
      <c r="V491">
        <f>LN(1+Table1[[#This Row],[Value]])</f>
        <v>4.2018474871455815</v>
      </c>
    </row>
    <row r="492" spans="1:23" x14ac:dyDescent="0.3">
      <c r="A492">
        <v>200</v>
      </c>
      <c r="B492">
        <v>167.68728333024501</v>
      </c>
      <c r="C492">
        <v>108.709036679189</v>
      </c>
      <c r="D492">
        <v>6.5244047881115197</v>
      </c>
      <c r="E492">
        <v>50.898639507931001</v>
      </c>
      <c r="F492">
        <v>16.5599420272668</v>
      </c>
      <c r="G492">
        <v>56.644570993314403</v>
      </c>
      <c r="H492">
        <v>38.042742652190498</v>
      </c>
      <c r="I492">
        <v>96.109183321157204</v>
      </c>
      <c r="J492">
        <v>65.759718953037506</v>
      </c>
      <c r="K492" t="s">
        <v>5</v>
      </c>
      <c r="L492">
        <v>3.46</v>
      </c>
      <c r="M492">
        <v>0</v>
      </c>
      <c r="N492">
        <f>LN(1+Table1[[#This Row],[Redness]])</f>
        <v>5.1280466063327594</v>
      </c>
      <c r="O492">
        <f>LN(1+Table1[[#This Row],[Greeness]])</f>
        <v>4.6978317401800487</v>
      </c>
      <c r="P492">
        <f>LN(1+Table1[[#This Row],[Blueness]])</f>
        <v>2.0181517095811543</v>
      </c>
      <c r="Q492">
        <f>LN(1+Table1[[#This Row],[L* lab]])</f>
        <v>3.9492925761082383</v>
      </c>
      <c r="R492">
        <f>LN(1+Table1[[#This Row],[a* lab]]+128)</f>
        <v>4.9805879744700876</v>
      </c>
      <c r="S492">
        <f>LN(1+Table1[[#This Row],[b* lab]]+128)</f>
        <v>5.2238339369599167</v>
      </c>
      <c r="T492">
        <f>LN(1+Table1[[#This Row],[Hue]])</f>
        <v>3.6646570114387469</v>
      </c>
      <c r="U492">
        <f>LN(1+Table1[[#This Row],[Saturation]])</f>
        <v>4.5758359467383096</v>
      </c>
      <c r="V492">
        <f>LN(1+Table1[[#This Row],[Value]])</f>
        <v>4.2010998889740705</v>
      </c>
    </row>
    <row r="493" spans="1:23" x14ac:dyDescent="0.3">
      <c r="A493">
        <v>200</v>
      </c>
      <c r="B493">
        <v>169.414288885769</v>
      </c>
      <c r="C493">
        <v>110.161108575063</v>
      </c>
      <c r="D493">
        <v>7.3825023563358796</v>
      </c>
      <c r="E493">
        <v>51.479209268788701</v>
      </c>
      <c r="F493">
        <v>16.535191670423799</v>
      </c>
      <c r="G493">
        <v>56.986092173611098</v>
      </c>
      <c r="H493">
        <v>38.058682837539799</v>
      </c>
      <c r="I493">
        <v>95.642337842403805</v>
      </c>
      <c r="J493">
        <v>66.436976033635005</v>
      </c>
      <c r="K493" t="s">
        <v>5</v>
      </c>
      <c r="L493">
        <v>3.46</v>
      </c>
      <c r="M493">
        <v>0</v>
      </c>
      <c r="N493">
        <f>LN(1+Table1[[#This Row],[Redness]])</f>
        <v>5.1382324658430178</v>
      </c>
      <c r="O493">
        <f>LN(1+Table1[[#This Row],[Greeness]])</f>
        <v>4.7109805776121156</v>
      </c>
      <c r="P493">
        <f>LN(1+Table1[[#This Row],[Blueness]])</f>
        <v>2.1261464804600121</v>
      </c>
      <c r="Q493">
        <f>LN(1+Table1[[#This Row],[L* lab]])</f>
        <v>3.9604170772355203</v>
      </c>
      <c r="R493">
        <f>LN(1+Table1[[#This Row],[a* lab]]+128)</f>
        <v>4.9804179245170825</v>
      </c>
      <c r="S493">
        <f>LN(1+Table1[[#This Row],[b* lab]]+128)</f>
        <v>5.2256718976573859</v>
      </c>
      <c r="T493">
        <f>LN(1+Table1[[#This Row],[Hue]])</f>
        <v>3.6650652033627913</v>
      </c>
      <c r="U493">
        <f>LN(1+Table1[[#This Row],[Saturation]])</f>
        <v>4.5710169251439403</v>
      </c>
      <c r="V493">
        <f>LN(1+Table1[[#This Row],[Value]])</f>
        <v>4.2111934733293745</v>
      </c>
    </row>
    <row r="494" spans="1:23" x14ac:dyDescent="0.3">
      <c r="A494">
        <v>200</v>
      </c>
      <c r="B494">
        <v>169.02224444133199</v>
      </c>
      <c r="C494">
        <v>110.087641924908</v>
      </c>
      <c r="D494">
        <v>7.1833290115046298</v>
      </c>
      <c r="E494">
        <v>51.4111557035788</v>
      </c>
      <c r="F494">
        <v>16.396443135595899</v>
      </c>
      <c r="G494">
        <v>56.9476911815783</v>
      </c>
      <c r="H494">
        <v>38.150643548284002</v>
      </c>
      <c r="I494">
        <v>95.750068853216504</v>
      </c>
      <c r="J494">
        <v>66.283233114247906</v>
      </c>
      <c r="K494" t="s">
        <v>5</v>
      </c>
      <c r="L494">
        <v>3.46</v>
      </c>
      <c r="M494">
        <v>0</v>
      </c>
      <c r="N494">
        <f>LN(1+Table1[[#This Row],[Redness]])</f>
        <v>5.1359292781450865</v>
      </c>
      <c r="O494">
        <f>LN(1+Table1[[#This Row],[Greeness]])</f>
        <v>4.7103194566594384</v>
      </c>
      <c r="P494">
        <f>LN(1+Table1[[#This Row],[Blueness]])</f>
        <v>2.1020990374465733</v>
      </c>
      <c r="Q494">
        <f>LN(1+Table1[[#This Row],[L* lab]])</f>
        <v>3.9591194637745151</v>
      </c>
      <c r="R494">
        <f>LN(1+Table1[[#This Row],[a* lab]]+128)</f>
        <v>4.979464102183945</v>
      </c>
      <c r="S494">
        <f>LN(1+Table1[[#This Row],[b* lab]]+128)</f>
        <v>5.2254654039540025</v>
      </c>
      <c r="T494">
        <f>LN(1+Table1[[#This Row],[Hue]])</f>
        <v>3.6674168603166266</v>
      </c>
      <c r="U494">
        <f>LN(1+Table1[[#This Row],[Saturation]])</f>
        <v>4.5721310435707903</v>
      </c>
      <c r="V494">
        <f>LN(1+Table1[[#This Row],[Value]])</f>
        <v>4.2089110691214016</v>
      </c>
    </row>
    <row r="495" spans="1:23" x14ac:dyDescent="0.3">
      <c r="A495">
        <v>200</v>
      </c>
      <c r="B495">
        <v>190.8827556</v>
      </c>
      <c r="C495">
        <v>125.420194</v>
      </c>
      <c r="D495">
        <v>10.34172538</v>
      </c>
      <c r="E495">
        <v>57.904213640000002</v>
      </c>
      <c r="F495">
        <v>17.676141009999998</v>
      </c>
      <c r="G495">
        <v>62.246526209999999</v>
      </c>
      <c r="H495">
        <v>38.244537059999999</v>
      </c>
      <c r="I495">
        <v>94.582158379999996</v>
      </c>
      <c r="J495">
        <v>74.855982569999995</v>
      </c>
      <c r="K495" t="s">
        <v>5</v>
      </c>
      <c r="L495" s="3">
        <v>3.46</v>
      </c>
      <c r="M495">
        <v>0</v>
      </c>
      <c r="N495">
        <f>LN(1+Table1[[#This Row],[Redness]])</f>
        <v>5.2568845375897393</v>
      </c>
      <c r="O495">
        <f>LN(1+Table1[[#This Row],[Greeness]])</f>
        <v>4.8396112316102906</v>
      </c>
      <c r="P495">
        <f>LN(1+Table1[[#This Row],[Blueness]])</f>
        <v>2.4284884366377986</v>
      </c>
      <c r="Q495">
        <f>LN(1+Table1[[#This Row],[L* lab]])</f>
        <v>4.075912626978214</v>
      </c>
      <c r="R495">
        <f>LN(1+Table1[[#This Row],[a* lab]]+128)</f>
        <v>4.9882270339533044</v>
      </c>
      <c r="S495">
        <f>LN(1+Table1[[#This Row],[b* lab]]+128)</f>
        <v>5.2535633089338418</v>
      </c>
      <c r="T495">
        <f>LN(1+Table1[[#This Row],[Hue]])</f>
        <v>3.6698122513568259</v>
      </c>
      <c r="U495">
        <f>LN(1+Table1[[#This Row],[Saturation]])</f>
        <v>4.5599861748159487</v>
      </c>
      <c r="V495">
        <f>LN(1+Table1[[#This Row],[Value]])</f>
        <v>4.3288365763822627</v>
      </c>
      <c r="W495" t="s">
        <v>26</v>
      </c>
    </row>
    <row r="496" spans="1:23" x14ac:dyDescent="0.3">
      <c r="A496">
        <v>200</v>
      </c>
      <c r="B496">
        <v>169.28106666354901</v>
      </c>
      <c r="C496">
        <v>110.603175142377</v>
      </c>
      <c r="D496">
        <v>6.4988553567581997</v>
      </c>
      <c r="E496">
        <v>51.569218327537399</v>
      </c>
      <c r="F496">
        <v>16.213567339406399</v>
      </c>
      <c r="G496">
        <v>57.214565902898599</v>
      </c>
      <c r="H496">
        <v>38.3718782107279</v>
      </c>
      <c r="I496">
        <v>96.160908313701199</v>
      </c>
      <c r="J496">
        <v>66.384732024921405</v>
      </c>
      <c r="K496" t="s">
        <v>5</v>
      </c>
      <c r="L496">
        <v>3.46</v>
      </c>
      <c r="M496">
        <v>0</v>
      </c>
      <c r="N496">
        <f>LN(1+Table1[[#This Row],[Redness]])</f>
        <v>5.1374504051143335</v>
      </c>
      <c r="O496">
        <f>LN(1+Table1[[#This Row],[Greeness]])</f>
        <v>4.7149495006390536</v>
      </c>
      <c r="P496">
        <f>LN(1+Table1[[#This Row],[Blueness]])</f>
        <v>2.0147503897958781</v>
      </c>
      <c r="Q496">
        <f>LN(1+Table1[[#This Row],[L* lab]])</f>
        <v>3.9621307455470869</v>
      </c>
      <c r="R496">
        <f>LN(1+Table1[[#This Row],[a* lab]]+128)</f>
        <v>4.9782055370021743</v>
      </c>
      <c r="S496">
        <f>LN(1+Table1[[#This Row],[b* lab]]+128)</f>
        <v>5.2268995889740273</v>
      </c>
      <c r="T496">
        <f>LN(1+Table1[[#This Row],[Hue]])</f>
        <v>3.6730518104656222</v>
      </c>
      <c r="U496">
        <f>LN(1+Table1[[#This Row],[Saturation]])</f>
        <v>4.5763684527286141</v>
      </c>
      <c r="V496">
        <f>LN(1+Table1[[#This Row],[Value]])</f>
        <v>4.2104184644368017</v>
      </c>
    </row>
    <row r="497" spans="1:23" x14ac:dyDescent="0.3">
      <c r="A497">
        <v>200</v>
      </c>
      <c r="B497">
        <v>169.499555552434</v>
      </c>
      <c r="C497">
        <v>110.683930679783</v>
      </c>
      <c r="D497">
        <v>6.3348590067800004</v>
      </c>
      <c r="E497">
        <v>51.616787932885401</v>
      </c>
      <c r="F497">
        <v>16.2640785234722</v>
      </c>
      <c r="G497">
        <v>57.291827310169701</v>
      </c>
      <c r="H497">
        <v>38.371929914559502</v>
      </c>
      <c r="I497">
        <v>96.262610255151699</v>
      </c>
      <c r="J497">
        <v>66.470413942131202</v>
      </c>
      <c r="K497" t="s">
        <v>5</v>
      </c>
      <c r="L497">
        <v>3.46</v>
      </c>
      <c r="M497">
        <v>0</v>
      </c>
      <c r="N497">
        <f>LN(1+Table1[[#This Row],[Redness]])</f>
        <v>5.138732689989582</v>
      </c>
      <c r="O497">
        <f>LN(1+Table1[[#This Row],[Greeness]])</f>
        <v>4.7156728343096628</v>
      </c>
      <c r="P497">
        <f>LN(1+Table1[[#This Row],[Blueness]])</f>
        <v>1.9926381894306504</v>
      </c>
      <c r="Q497">
        <f>LN(1+Table1[[#This Row],[L* lab]])</f>
        <v>3.9630352310443926</v>
      </c>
      <c r="R497">
        <f>LN(1+Table1[[#This Row],[a* lab]]+128)</f>
        <v>4.9785533171862566</v>
      </c>
      <c r="S497">
        <f>LN(1+Table1[[#This Row],[b* lab]]+128)</f>
        <v>5.2273144082082021</v>
      </c>
      <c r="T497">
        <f>LN(1+Table1[[#This Row],[Hue]])</f>
        <v>3.6730531236820601</v>
      </c>
      <c r="U497">
        <f>LN(1+Table1[[#This Row],[Saturation]])</f>
        <v>4.5774146425257678</v>
      </c>
      <c r="V497">
        <f>LN(1+Table1[[#This Row],[Value]])</f>
        <v>4.2116891898232884</v>
      </c>
    </row>
    <row r="498" spans="1:23" x14ac:dyDescent="0.3">
      <c r="A498">
        <v>200</v>
      </c>
      <c r="B498">
        <v>170.29795555241901</v>
      </c>
      <c r="C498">
        <v>111.509841605274</v>
      </c>
      <c r="D498">
        <v>7.1562851689675799</v>
      </c>
      <c r="E498">
        <v>51.923959305051902</v>
      </c>
      <c r="F498">
        <v>16.1721335164384</v>
      </c>
      <c r="G498">
        <v>57.3934351891033</v>
      </c>
      <c r="H498">
        <v>38.3789952098806</v>
      </c>
      <c r="I498">
        <v>95.797785624757594</v>
      </c>
      <c r="J498">
        <v>66.783511981341107</v>
      </c>
      <c r="K498" t="s">
        <v>5</v>
      </c>
      <c r="L498">
        <v>3.46</v>
      </c>
      <c r="M498">
        <v>0</v>
      </c>
      <c r="N498">
        <f>LN(1+Table1[[#This Row],[Redness]])</f>
        <v>5.1434044703634587</v>
      </c>
      <c r="O498">
        <f>LN(1+Table1[[#This Row],[Greeness]])</f>
        <v>4.7230406987540094</v>
      </c>
      <c r="P498">
        <f>LN(1+Table1[[#This Row],[Blueness]])</f>
        <v>2.0987888164177417</v>
      </c>
      <c r="Q498">
        <f>LN(1+Table1[[#This Row],[L* lab]])</f>
        <v>3.9688561532480402</v>
      </c>
      <c r="R498">
        <f>LN(1+Table1[[#This Row],[a* lab]]+128)</f>
        <v>4.977920166041228</v>
      </c>
      <c r="S498">
        <f>LN(1+Table1[[#This Row],[b* lab]]+128)</f>
        <v>5.2278596826887105</v>
      </c>
      <c r="T498">
        <f>LN(1+Table1[[#This Row],[Hue]])</f>
        <v>3.6732325576462679</v>
      </c>
      <c r="U498">
        <f>LN(1+Table1[[#This Row],[Saturation]])</f>
        <v>4.5726241182435787</v>
      </c>
      <c r="V498">
        <f>LN(1+Table1[[#This Row],[Value]])</f>
        <v>4.2163189792558988</v>
      </c>
    </row>
    <row r="499" spans="1:23" x14ac:dyDescent="0.3">
      <c r="A499">
        <v>200</v>
      </c>
      <c r="B499">
        <v>193.02442780000001</v>
      </c>
      <c r="C499">
        <v>127.4301325</v>
      </c>
      <c r="D499">
        <v>10.59223647</v>
      </c>
      <c r="E499">
        <v>58.655799379999998</v>
      </c>
      <c r="F499">
        <v>17.519613110000002</v>
      </c>
      <c r="G499">
        <v>62.86209058</v>
      </c>
      <c r="H499">
        <v>38.426736589999997</v>
      </c>
      <c r="I499">
        <v>94.512489119999998</v>
      </c>
      <c r="J499">
        <v>75.695854030000007</v>
      </c>
      <c r="K499" t="s">
        <v>5</v>
      </c>
      <c r="L499" s="3">
        <v>3.46</v>
      </c>
      <c r="M499">
        <v>0</v>
      </c>
      <c r="N499">
        <f>LN(1+Table1[[#This Row],[Redness]])</f>
        <v>5.2679840676313567</v>
      </c>
      <c r="O499">
        <f>LN(1+Table1[[#This Row],[Greeness]])</f>
        <v>4.8553850405148475</v>
      </c>
      <c r="P499">
        <f>LN(1+Table1[[#This Row],[Blueness]])</f>
        <v>2.4503356042237048</v>
      </c>
      <c r="Q499">
        <f>LN(1+Table1[[#This Row],[L* lab]])</f>
        <v>4.0885913672882728</v>
      </c>
      <c r="R499">
        <f>LN(1+Table1[[#This Row],[a* lab]]+128)</f>
        <v>4.987159297380237</v>
      </c>
      <c r="S499">
        <f>LN(1+Table1[[#This Row],[b* lab]]+128)</f>
        <v>5.2567768357132154</v>
      </c>
      <c r="T499">
        <f>LN(1+Table1[[#This Row],[Hue]])</f>
        <v>3.6744441798181451</v>
      </c>
      <c r="U499">
        <f>LN(1+Table1[[#This Row],[Saturation]])</f>
        <v>4.5592570150618865</v>
      </c>
      <c r="V499">
        <f>LN(1+Table1[[#This Row],[Value]])</f>
        <v>4.3398476525445542</v>
      </c>
      <c r="W499" t="s">
        <v>26</v>
      </c>
    </row>
    <row r="500" spans="1:23" x14ac:dyDescent="0.3">
      <c r="A500">
        <v>200</v>
      </c>
      <c r="B500">
        <v>170.74506666352201</v>
      </c>
      <c r="C500">
        <v>112.099174806157</v>
      </c>
      <c r="D500">
        <v>7.6085417698830797</v>
      </c>
      <c r="E500">
        <v>52.125721682436001</v>
      </c>
      <c r="F500">
        <v>16.0502478722399</v>
      </c>
      <c r="G500">
        <v>57.4838969680861</v>
      </c>
      <c r="H500">
        <v>38.430621139343103</v>
      </c>
      <c r="I500">
        <v>95.543917069723094</v>
      </c>
      <c r="J500">
        <v>66.958849671969702</v>
      </c>
      <c r="K500" t="s">
        <v>5</v>
      </c>
      <c r="L500">
        <v>3.46</v>
      </c>
      <c r="M500">
        <v>0</v>
      </c>
      <c r="N500">
        <f>LN(1+Table1[[#This Row],[Redness]])</f>
        <v>5.1460112067511821</v>
      </c>
      <c r="O500">
        <f>LN(1+Table1[[#This Row],[Greeness]])</f>
        <v>4.7282650869518417</v>
      </c>
      <c r="P500">
        <f>LN(1+Table1[[#This Row],[Blueness]])</f>
        <v>2.1527549393900198</v>
      </c>
      <c r="Q500">
        <f>LN(1+Table1[[#This Row],[L* lab]])</f>
        <v>3.9726612117628708</v>
      </c>
      <c r="R500">
        <f>LN(1+Table1[[#This Row],[a* lab]]+128)</f>
        <v>4.9770802194404089</v>
      </c>
      <c r="S500">
        <f>LN(1+Table1[[#This Row],[b* lab]]+128)</f>
        <v>5.2283448920214113</v>
      </c>
      <c r="T500">
        <f>LN(1+Table1[[#This Row],[Hue]])</f>
        <v>3.6745427007287637</v>
      </c>
      <c r="U500">
        <f>LN(1+Table1[[#This Row],[Saturation]])</f>
        <v>4.5699980039868375</v>
      </c>
      <c r="V500">
        <f>LN(1+Table1[[#This Row],[Value]])</f>
        <v>4.2189023701150035</v>
      </c>
    </row>
    <row r="501" spans="1:23" x14ac:dyDescent="0.3">
      <c r="A501">
        <v>200</v>
      </c>
      <c r="B501">
        <v>169.57868888576601</v>
      </c>
      <c r="C501">
        <v>110.928708402548</v>
      </c>
      <c r="D501">
        <v>6.4113461933145501</v>
      </c>
      <c r="E501">
        <v>51.687056083740401</v>
      </c>
      <c r="F501">
        <v>16.163694478274302</v>
      </c>
      <c r="G501">
        <v>57.333309488238797</v>
      </c>
      <c r="H501">
        <v>38.433191526408002</v>
      </c>
      <c r="I501">
        <v>96.219250051146702</v>
      </c>
      <c r="J501">
        <v>66.501446621869206</v>
      </c>
      <c r="K501" t="s">
        <v>5</v>
      </c>
      <c r="L501">
        <v>3.46</v>
      </c>
      <c r="M501">
        <v>0</v>
      </c>
      <c r="N501">
        <f>LN(1+Table1[[#This Row],[Redness]])</f>
        <v>5.1391967086483046</v>
      </c>
      <c r="O501">
        <f>LN(1+Table1[[#This Row],[Greeness]])</f>
        <v>4.7178621365024078</v>
      </c>
      <c r="P501">
        <f>LN(1+Table1[[#This Row],[Blueness]])</f>
        <v>2.0030120953196282</v>
      </c>
      <c r="Q501">
        <f>LN(1+Table1[[#This Row],[L* lab]])</f>
        <v>3.9643698102696954</v>
      </c>
      <c r="R501">
        <f>LN(1+Table1[[#This Row],[a* lab]]+128)</f>
        <v>4.977862033097562</v>
      </c>
      <c r="S501">
        <f>LN(1+Table1[[#This Row],[b* lab]]+128)</f>
        <v>5.2275370565168853</v>
      </c>
      <c r="T501">
        <f>LN(1+Table1[[#This Row],[Hue]])</f>
        <v>3.6746078861916249</v>
      </c>
      <c r="U501">
        <f>LN(1+Table1[[#This Row],[Saturation]])</f>
        <v>4.5769687376516046</v>
      </c>
      <c r="V501">
        <f>LN(1+Table1[[#This Row],[Value]])</f>
        <v>4.2121490290839336</v>
      </c>
    </row>
    <row r="502" spans="1:23" x14ac:dyDescent="0.3">
      <c r="A502">
        <v>200</v>
      </c>
      <c r="B502">
        <v>191.9011333</v>
      </c>
      <c r="C502">
        <v>126.6550604</v>
      </c>
      <c r="D502">
        <v>9.2867044189999994</v>
      </c>
      <c r="E502">
        <v>58.326798500000002</v>
      </c>
      <c r="F502">
        <v>17.43253721</v>
      </c>
      <c r="G502">
        <v>62.787444839999999</v>
      </c>
      <c r="H502">
        <v>38.562677669999999</v>
      </c>
      <c r="I502">
        <v>95.160682870000002</v>
      </c>
      <c r="J502">
        <v>75.255346399999993</v>
      </c>
      <c r="K502" t="s">
        <v>5</v>
      </c>
      <c r="L502" s="3">
        <v>3.46</v>
      </c>
      <c r="M502">
        <v>0</v>
      </c>
      <c r="N502">
        <f>LN(1+Table1[[#This Row],[Redness]])</f>
        <v>5.2621777949592259</v>
      </c>
      <c r="O502">
        <f>LN(1+Table1[[#This Row],[Greeness]])</f>
        <v>4.8493317856749467</v>
      </c>
      <c r="P502">
        <f>LN(1+Table1[[#This Row],[Blueness]])</f>
        <v>2.3308522282860942</v>
      </c>
      <c r="Q502">
        <f>LN(1+Table1[[#This Row],[L* lab]])</f>
        <v>4.0830611179179304</v>
      </c>
      <c r="R502">
        <f>LN(1+Table1[[#This Row],[a* lab]]+128)</f>
        <v>4.9865648255358126</v>
      </c>
      <c r="S502">
        <f>LN(1+Table1[[#This Row],[b* lab]]+128)</f>
        <v>5.256387700661298</v>
      </c>
      <c r="T502">
        <f>LN(1+Table1[[#This Row],[Hue]])</f>
        <v>3.6778861907631892</v>
      </c>
      <c r="U502">
        <f>LN(1+Table1[[#This Row],[Saturation]])</f>
        <v>4.5660205721551934</v>
      </c>
      <c r="V502">
        <f>LN(1+Table1[[#This Row],[Value]])</f>
        <v>4.3340875297507697</v>
      </c>
      <c r="W502" t="s">
        <v>26</v>
      </c>
    </row>
    <row r="503" spans="1:23" x14ac:dyDescent="0.3">
      <c r="A503">
        <v>200</v>
      </c>
      <c r="B503">
        <v>171.154666663515</v>
      </c>
      <c r="C503">
        <v>112.812774645779</v>
      </c>
      <c r="D503">
        <v>6.9224237072913404</v>
      </c>
      <c r="E503">
        <v>52.353683863276103</v>
      </c>
      <c r="F503">
        <v>15.8230806010985</v>
      </c>
      <c r="G503">
        <v>57.795288177531901</v>
      </c>
      <c r="H503">
        <v>38.685589028962902</v>
      </c>
      <c r="I503">
        <v>95.955457223435999</v>
      </c>
      <c r="J503">
        <v>67.119477122947103</v>
      </c>
      <c r="K503" t="s">
        <v>5</v>
      </c>
      <c r="L503">
        <v>3.46</v>
      </c>
      <c r="M503">
        <v>0</v>
      </c>
      <c r="N503">
        <f>LN(1+Table1[[#This Row],[Redness]])</f>
        <v>5.148393297540931</v>
      </c>
      <c r="O503">
        <f>LN(1+Table1[[#This Row],[Greeness]])</f>
        <v>4.7345547706273994</v>
      </c>
      <c r="P503">
        <f>LN(1+Table1[[#This Row],[Blueness]])</f>
        <v>2.0696971826585453</v>
      </c>
      <c r="Q503">
        <f>LN(1+Table1[[#This Row],[L* lab]])</f>
        <v>3.9769430262218952</v>
      </c>
      <c r="R503">
        <f>LN(1+Table1[[#This Row],[a* lab]]+128)</f>
        <v>4.9755128636657835</v>
      </c>
      <c r="S503">
        <f>LN(1+Table1[[#This Row],[b* lab]]+128)</f>
        <v>5.2300133015875989</v>
      </c>
      <c r="T503">
        <f>LN(1+Table1[[#This Row],[Hue]])</f>
        <v>3.6809881250423118</v>
      </c>
      <c r="U503">
        <f>LN(1+Table1[[#This Row],[Saturation]])</f>
        <v>4.5742516691548891</v>
      </c>
      <c r="V503">
        <f>LN(1+Table1[[#This Row],[Value]])</f>
        <v>4.2212631799421727</v>
      </c>
    </row>
    <row r="504" spans="1:23" x14ac:dyDescent="0.3">
      <c r="A504">
        <v>200</v>
      </c>
      <c r="B504">
        <v>172.13846666349701</v>
      </c>
      <c r="C504">
        <v>113.70866333332</v>
      </c>
      <c r="D504">
        <v>7.4183904464733903</v>
      </c>
      <c r="E504">
        <v>52.697729782694203</v>
      </c>
      <c r="F504">
        <v>15.7740833801879</v>
      </c>
      <c r="G504">
        <v>58.006093403677497</v>
      </c>
      <c r="H504">
        <v>38.716691490649801</v>
      </c>
      <c r="I504">
        <v>95.690451651939497</v>
      </c>
      <c r="J504">
        <v>67.505281044508607</v>
      </c>
      <c r="K504" t="s">
        <v>5</v>
      </c>
      <c r="L504">
        <v>3.46</v>
      </c>
      <c r="M504">
        <v>0</v>
      </c>
      <c r="N504">
        <f>LN(1+Table1[[#This Row],[Redness]])</f>
        <v>5.1540916596983779</v>
      </c>
      <c r="O504">
        <f>LN(1+Table1[[#This Row],[Greeness]])</f>
        <v>4.7423955516520131</v>
      </c>
      <c r="P504">
        <f>LN(1+Table1[[#This Row],[Blueness]])</f>
        <v>2.1304186516050625</v>
      </c>
      <c r="Q504">
        <f>LN(1+Table1[[#This Row],[L* lab]])</f>
        <v>3.9833707246936845</v>
      </c>
      <c r="R504">
        <f>LN(1+Table1[[#This Row],[a* lab]]+128)</f>
        <v>4.9751744817513712</v>
      </c>
      <c r="S504">
        <f>LN(1+Table1[[#This Row],[b* lab]]+128)</f>
        <v>5.2311412013701091</v>
      </c>
      <c r="T504">
        <f>LN(1+Table1[[#This Row],[Hue]])</f>
        <v>3.681771539903298</v>
      </c>
      <c r="U504">
        <f>LN(1+Table1[[#This Row],[Saturation]])</f>
        <v>4.5715146556184747</v>
      </c>
      <c r="V504">
        <f>LN(1+Table1[[#This Row],[Value]])</f>
        <v>4.2269108378367424</v>
      </c>
    </row>
    <row r="505" spans="1:23" x14ac:dyDescent="0.3">
      <c r="A505">
        <v>200</v>
      </c>
      <c r="B505">
        <v>194.53646670000001</v>
      </c>
      <c r="C505">
        <v>129.43568200000001</v>
      </c>
      <c r="D505">
        <v>10.47343356</v>
      </c>
      <c r="E505">
        <v>59.325809030000002</v>
      </c>
      <c r="F505">
        <v>17.085814070000001</v>
      </c>
      <c r="G505">
        <v>63.435089509999997</v>
      </c>
      <c r="H505">
        <v>38.77875306</v>
      </c>
      <c r="I505">
        <v>94.616210659999993</v>
      </c>
      <c r="J505">
        <v>76.288810459999993</v>
      </c>
      <c r="K505" t="s">
        <v>5</v>
      </c>
      <c r="L505" s="3">
        <v>3.46</v>
      </c>
      <c r="M505">
        <v>0</v>
      </c>
      <c r="N505">
        <f>LN(1+Table1[[#This Row],[Redness]])</f>
        <v>5.2757468924655644</v>
      </c>
      <c r="O505">
        <f>LN(1+Table1[[#This Row],[Greeness]])</f>
        <v>4.8708802470306578</v>
      </c>
      <c r="P505">
        <f>LN(1+Table1[[#This Row],[Blueness]])</f>
        <v>2.4400342376959547</v>
      </c>
      <c r="Q505">
        <f>LN(1+Table1[[#This Row],[L* lab]])</f>
        <v>4.0997600226105568</v>
      </c>
      <c r="R505">
        <f>LN(1+Table1[[#This Row],[a* lab]]+128)</f>
        <v>4.9841942166433544</v>
      </c>
      <c r="S505">
        <f>LN(1+Table1[[#This Row],[b* lab]]+128)</f>
        <v>5.2597588995133799</v>
      </c>
      <c r="T505">
        <f>LN(1+Table1[[#This Row],[Hue]])</f>
        <v>3.6833329270320694</v>
      </c>
      <c r="U505">
        <f>LN(1+Table1[[#This Row],[Saturation]])</f>
        <v>4.5603423732556214</v>
      </c>
      <c r="V505">
        <f>LN(1+Table1[[#This Row],[Value]])</f>
        <v>4.3475491903935373</v>
      </c>
      <c r="W505" t="s">
        <v>26</v>
      </c>
    </row>
    <row r="506" spans="1:23" x14ac:dyDescent="0.3">
      <c r="A506">
        <v>300</v>
      </c>
      <c r="B506">
        <v>196.15625829999999</v>
      </c>
      <c r="C506">
        <v>116.60387660000001</v>
      </c>
      <c r="D506">
        <v>9.5828894939999998</v>
      </c>
      <c r="E506">
        <v>56.497077509999997</v>
      </c>
      <c r="F506">
        <v>24.802756760000001</v>
      </c>
      <c r="G506">
        <v>61.684616339999998</v>
      </c>
      <c r="H506">
        <v>34.416804849999998</v>
      </c>
      <c r="I506">
        <v>95.114665430000002</v>
      </c>
      <c r="J506">
        <v>76.924022870000002</v>
      </c>
      <c r="K506" t="s">
        <v>5</v>
      </c>
      <c r="L506">
        <v>5.19</v>
      </c>
      <c r="M506">
        <v>0</v>
      </c>
      <c r="N506">
        <f>LN(1+Table1[[#This Row],[Redness]])</f>
        <v>5.2839966036696717</v>
      </c>
      <c r="O506">
        <f>LN(1+Table1[[#This Row],[Greeness]])</f>
        <v>4.7673219992069304</v>
      </c>
      <c r="P506">
        <f>LN(1+Table1[[#This Row],[Blueness]])</f>
        <v>2.3592384982163832</v>
      </c>
      <c r="Q506">
        <f>LN(1+Table1[[#This Row],[L* lab]])</f>
        <v>4.0517341205985806</v>
      </c>
      <c r="R506">
        <f>LN(1+Table1[[#This Row],[a* lab]]+128)</f>
        <v>5.0356709812281997</v>
      </c>
      <c r="S506">
        <f>LN(1+Table1[[#This Row],[b* lab]]+128)</f>
        <v>5.2506208399239984</v>
      </c>
      <c r="T506">
        <f>LN(1+Table1[[#This Row],[Hue]])</f>
        <v>3.5671864207758639</v>
      </c>
      <c r="U506">
        <f>LN(1+Table1[[#This Row],[Saturation]])</f>
        <v>4.5655419102644679</v>
      </c>
      <c r="V506">
        <f>LN(1+Table1[[#This Row],[Value]])</f>
        <v>4.3557342862100086</v>
      </c>
      <c r="W506" t="s">
        <v>26</v>
      </c>
    </row>
    <row r="507" spans="1:23" x14ac:dyDescent="0.3">
      <c r="A507">
        <v>300</v>
      </c>
      <c r="B507">
        <v>196.40485279999999</v>
      </c>
      <c r="C507">
        <v>116.27180439999999</v>
      </c>
      <c r="D507">
        <v>8.1516435709999993</v>
      </c>
      <c r="E507">
        <v>56.448984080000002</v>
      </c>
      <c r="F507">
        <v>25.072377190000001</v>
      </c>
      <c r="G507">
        <v>61.931214400000002</v>
      </c>
      <c r="H507">
        <v>34.460021580000003</v>
      </c>
      <c r="I507">
        <v>95.8495712</v>
      </c>
      <c r="J507">
        <v>77.021510890000002</v>
      </c>
      <c r="K507" t="s">
        <v>5</v>
      </c>
      <c r="L507">
        <v>5.19</v>
      </c>
      <c r="M507">
        <v>0</v>
      </c>
      <c r="N507">
        <f>LN(1+Table1[[#This Row],[Redness]])</f>
        <v>5.2852567102838357</v>
      </c>
      <c r="O507">
        <f>LN(1+Table1[[#This Row],[Greeness]])</f>
        <v>4.7644943550690186</v>
      </c>
      <c r="P507">
        <f>LN(1+Table1[[#This Row],[Blueness]])</f>
        <v>2.2139334884026485</v>
      </c>
      <c r="Q507">
        <f>LN(1+Table1[[#This Row],[L* lab]])</f>
        <v>4.0508973205874952</v>
      </c>
      <c r="R507">
        <f>LN(1+Table1[[#This Row],[a* lab]]+128)</f>
        <v>5.037422473760043</v>
      </c>
      <c r="S507">
        <f>LN(1+Table1[[#This Row],[b* lab]]+128)</f>
        <v>5.2519132291513824</v>
      </c>
      <c r="T507">
        <f>LN(1+Table1[[#This Row],[Hue]])</f>
        <v>3.5684059092189169</v>
      </c>
      <c r="U507">
        <f>LN(1+Table1[[#This Row],[Saturation]])</f>
        <v>4.5731589623780513</v>
      </c>
      <c r="V507">
        <f>LN(1+Table1[[#This Row],[Value]])</f>
        <v>4.3569845693101268</v>
      </c>
      <c r="W507" t="s">
        <v>26</v>
      </c>
    </row>
    <row r="508" spans="1:23" x14ac:dyDescent="0.3">
      <c r="A508">
        <v>300</v>
      </c>
      <c r="B508">
        <v>154.897227774925</v>
      </c>
      <c r="C508">
        <v>95.476761875312206</v>
      </c>
      <c r="D508">
        <v>6.9292513331085202</v>
      </c>
      <c r="E508">
        <v>45.968609108198898</v>
      </c>
      <c r="F508">
        <v>18.2714811433226</v>
      </c>
      <c r="G508">
        <v>52.302593818261499</v>
      </c>
      <c r="H508">
        <v>35.905408455871502</v>
      </c>
      <c r="I508">
        <v>95.526549162534295</v>
      </c>
      <c r="J508">
        <v>60.744010892127697</v>
      </c>
      <c r="K508" t="s">
        <v>5</v>
      </c>
      <c r="L508">
        <v>5.19</v>
      </c>
      <c r="M508">
        <v>0</v>
      </c>
      <c r="N508">
        <f>LN(1+Table1[[#This Row],[Redness]])</f>
        <v>5.0491969938333057</v>
      </c>
      <c r="O508">
        <f>LN(1+Table1[[#This Row],[Greeness]])</f>
        <v>4.5693021697634002</v>
      </c>
      <c r="P508">
        <f>LN(1+Table1[[#This Row],[Blueness]])</f>
        <v>2.070558621745834</v>
      </c>
      <c r="Q508">
        <f>LN(1+Table1[[#This Row],[L* lab]])</f>
        <v>3.8494794872563767</v>
      </c>
      <c r="R508">
        <f>LN(1+Table1[[#This Row],[a* lab]]+128)</f>
        <v>4.9922776940197604</v>
      </c>
      <c r="S508">
        <f>LN(1+Table1[[#This Row],[b* lab]]+128)</f>
        <v>5.2001674244332108</v>
      </c>
      <c r="T508">
        <f>LN(1+Table1[[#This Row],[Hue]])</f>
        <v>3.6083581109258818</v>
      </c>
      <c r="U508">
        <f>LN(1+Table1[[#This Row],[Saturation]])</f>
        <v>4.569818091361415</v>
      </c>
      <c r="V508">
        <f>LN(1+Table1[[#This Row],[Value]])</f>
        <v>4.1229969812031202</v>
      </c>
    </row>
    <row r="509" spans="1:23" x14ac:dyDescent="0.3">
      <c r="A509">
        <v>300</v>
      </c>
      <c r="B509">
        <v>158.51697777485899</v>
      </c>
      <c r="C509">
        <v>97.589044733918399</v>
      </c>
      <c r="D509">
        <v>6.5881867018682803</v>
      </c>
      <c r="E509">
        <v>46.965096595134099</v>
      </c>
      <c r="F509">
        <v>18.709649357625899</v>
      </c>
      <c r="G509">
        <v>53.322414543790899</v>
      </c>
      <c r="H509">
        <v>35.9382276615355</v>
      </c>
      <c r="I509">
        <v>95.843860516174104</v>
      </c>
      <c r="J509">
        <v>62.163520696023099</v>
      </c>
      <c r="K509" t="s">
        <v>5</v>
      </c>
      <c r="L509">
        <v>5.19</v>
      </c>
      <c r="M509">
        <v>0</v>
      </c>
      <c r="N509">
        <f>LN(1+Table1[[#This Row],[Redness]])</f>
        <v>5.0721503602896911</v>
      </c>
      <c r="O509">
        <f>LN(1+Table1[[#This Row],[Greeness]])</f>
        <v>4.5909601472603496</v>
      </c>
      <c r="P509">
        <f>LN(1+Table1[[#This Row],[Blueness]])</f>
        <v>2.0265926566551911</v>
      </c>
      <c r="Q509">
        <f>LN(1+Table1[[#This Row],[L* lab]])</f>
        <v>3.8704735921349549</v>
      </c>
      <c r="R509">
        <f>LN(1+Table1[[#This Row],[a* lab]]+128)</f>
        <v>4.9952485181929847</v>
      </c>
      <c r="S509">
        <f>LN(1+Table1[[#This Row],[b* lab]]+128)</f>
        <v>5.2057766282886933</v>
      </c>
      <c r="T509">
        <f>LN(1+Table1[[#This Row],[Hue]])</f>
        <v>3.6092469947769619</v>
      </c>
      <c r="U509">
        <f>LN(1+Table1[[#This Row],[Saturation]])</f>
        <v>4.5730999961676133</v>
      </c>
      <c r="V509">
        <f>LN(1+Table1[[#This Row],[Value]])</f>
        <v>4.1457269303295021</v>
      </c>
    </row>
    <row r="510" spans="1:23" x14ac:dyDescent="0.3">
      <c r="A510">
        <v>300</v>
      </c>
      <c r="B510">
        <v>154.15731110827201</v>
      </c>
      <c r="C510">
        <v>96.764400474809406</v>
      </c>
      <c r="D510">
        <v>6.4997164487042296</v>
      </c>
      <c r="E510">
        <v>46.185974611957</v>
      </c>
      <c r="F510">
        <v>17.1904207961277</v>
      </c>
      <c r="G510">
        <v>52.509058209163697</v>
      </c>
      <c r="H510">
        <v>36.6786486943179</v>
      </c>
      <c r="I510">
        <v>95.783711844753697</v>
      </c>
      <c r="J510">
        <v>60.4538474934402</v>
      </c>
      <c r="K510" t="s">
        <v>5</v>
      </c>
      <c r="L510">
        <v>5.19</v>
      </c>
      <c r="M510">
        <v>0</v>
      </c>
      <c r="N510">
        <f>LN(1+Table1[[#This Row],[Redness]])</f>
        <v>5.044439512621862</v>
      </c>
      <c r="O510">
        <f>LN(1+Table1[[#This Row],[Greeness]])</f>
        <v>4.582560507450423</v>
      </c>
      <c r="P510">
        <f>LN(1+Table1[[#This Row],[Blueness]])</f>
        <v>2.0148652129881319</v>
      </c>
      <c r="Q510">
        <f>LN(1+Table1[[#This Row],[L* lab]])</f>
        <v>3.8540967003825211</v>
      </c>
      <c r="R510">
        <f>LN(1+Table1[[#This Row],[a* lab]]+128)</f>
        <v>4.9849100239387516</v>
      </c>
      <c r="S510">
        <f>LN(1+Table1[[#This Row],[b* lab]]+128)</f>
        <v>5.2013055599480733</v>
      </c>
      <c r="T510">
        <f>LN(1+Table1[[#This Row],[Hue]])</f>
        <v>3.6290935863877429</v>
      </c>
      <c r="U510">
        <f>LN(1+Table1[[#This Row],[Saturation]])</f>
        <v>4.5724787140576142</v>
      </c>
      <c r="V510">
        <f>LN(1+Table1[[#This Row],[Value]])</f>
        <v>4.1182864458248352</v>
      </c>
    </row>
    <row r="511" spans="1:23" x14ac:dyDescent="0.3">
      <c r="A511">
        <v>300</v>
      </c>
      <c r="B511">
        <v>151.821688886093</v>
      </c>
      <c r="C511">
        <v>95.524334086842799</v>
      </c>
      <c r="D511">
        <v>6.9128294763830596</v>
      </c>
      <c r="E511">
        <v>45.556895264333797</v>
      </c>
      <c r="F511">
        <v>16.849950633708499</v>
      </c>
      <c r="G511">
        <v>51.8339401696064</v>
      </c>
      <c r="H511">
        <v>36.689891137679503</v>
      </c>
      <c r="I511">
        <v>95.446744449293007</v>
      </c>
      <c r="J511">
        <v>59.537917210232699</v>
      </c>
      <c r="K511" t="s">
        <v>5</v>
      </c>
      <c r="L511">
        <v>5.19</v>
      </c>
      <c r="M511">
        <v>0</v>
      </c>
      <c r="N511">
        <f>LN(1+Table1[[#This Row],[Redness]])</f>
        <v>5.0292718096312825</v>
      </c>
      <c r="O511">
        <f>LN(1+Table1[[#This Row],[Greeness]])</f>
        <v>4.5697951432592951</v>
      </c>
      <c r="P511">
        <f>LN(1+Table1[[#This Row],[Blueness]])</f>
        <v>2.0684854265885955</v>
      </c>
      <c r="Q511">
        <f>LN(1+Table1[[#This Row],[L* lab]])</f>
        <v>3.8406751187327504</v>
      </c>
      <c r="R511">
        <f>LN(1+Table1[[#This Row],[a* lab]]+128)</f>
        <v>4.9825783578406426</v>
      </c>
      <c r="S511">
        <f>LN(1+Table1[[#This Row],[b* lab]]+128)</f>
        <v>5.1975791525174992</v>
      </c>
      <c r="T511">
        <f>LN(1+Table1[[#This Row],[Hue]])</f>
        <v>3.6293919189140209</v>
      </c>
      <c r="U511">
        <f>LN(1+Table1[[#This Row],[Saturation]])</f>
        <v>4.5689909850163124</v>
      </c>
      <c r="V511">
        <f>LN(1+Table1[[#This Row],[Value]])</f>
        <v>4.1032698994707486</v>
      </c>
    </row>
    <row r="512" spans="1:23" x14ac:dyDescent="0.3">
      <c r="A512">
        <v>300</v>
      </c>
      <c r="B512">
        <v>163.00355555255399</v>
      </c>
      <c r="C512">
        <v>102.825932445837</v>
      </c>
      <c r="D512">
        <v>7.2493386534572402</v>
      </c>
      <c r="E512">
        <v>48.845429618205401</v>
      </c>
      <c r="F512">
        <v>17.778891788796098</v>
      </c>
      <c r="G512">
        <v>54.760904663591099</v>
      </c>
      <c r="H512">
        <v>36.818236717519397</v>
      </c>
      <c r="I512">
        <v>95.552649984300501</v>
      </c>
      <c r="J512">
        <v>63.922962961785899</v>
      </c>
      <c r="K512" t="s">
        <v>5</v>
      </c>
      <c r="L512">
        <v>5.19</v>
      </c>
      <c r="M512">
        <v>0</v>
      </c>
      <c r="N512">
        <f>LN(1+Table1[[#This Row],[Redness]])</f>
        <v>5.0998881077876863</v>
      </c>
      <c r="O512">
        <f>LN(1+Table1[[#This Row],[Greeness]])</f>
        <v>4.6427157704139992</v>
      </c>
      <c r="P512">
        <f>LN(1+Table1[[#This Row],[Blueness]])</f>
        <v>2.1101330339160431</v>
      </c>
      <c r="Q512">
        <f>LN(1+Table1[[#This Row],[L* lab]])</f>
        <v>3.9089268095207892</v>
      </c>
      <c r="R512">
        <f>LN(1+Table1[[#This Row],[a* lab]]+128)</f>
        <v>4.9889273169371409</v>
      </c>
      <c r="S512">
        <f>LN(1+Table1[[#This Row],[b* lab]]+128)</f>
        <v>5.2136354814400736</v>
      </c>
      <c r="T512">
        <f>LN(1+Table1[[#This Row],[Hue]])</f>
        <v>3.6327914391270153</v>
      </c>
      <c r="U512">
        <f>LN(1+Table1[[#This Row],[Saturation]])</f>
        <v>4.5700884552539582</v>
      </c>
      <c r="V512">
        <f>LN(1+Table1[[#This Row],[Value]])</f>
        <v>4.1732013818049376</v>
      </c>
    </row>
    <row r="513" spans="1:23" x14ac:dyDescent="0.3">
      <c r="A513">
        <v>300</v>
      </c>
      <c r="B513">
        <v>162.41953333034201</v>
      </c>
      <c r="C513">
        <v>102.401910318912</v>
      </c>
      <c r="D513">
        <v>6.0710870997012396</v>
      </c>
      <c r="E513">
        <v>48.661401097239697</v>
      </c>
      <c r="F513">
        <v>17.736197376656101</v>
      </c>
      <c r="G513">
        <v>54.856778089921796</v>
      </c>
      <c r="H513">
        <v>36.967744371609498</v>
      </c>
      <c r="I513">
        <v>96.262095466464999</v>
      </c>
      <c r="J513">
        <v>63.693934639350097</v>
      </c>
      <c r="K513" t="s">
        <v>5</v>
      </c>
      <c r="L513">
        <v>5.19</v>
      </c>
      <c r="M513">
        <v>0</v>
      </c>
      <c r="N513">
        <f>LN(1+Table1[[#This Row],[Redness]])</f>
        <v>5.0963207183065533</v>
      </c>
      <c r="O513">
        <f>LN(1+Table1[[#This Row],[Greeness]])</f>
        <v>4.6386234369415007</v>
      </c>
      <c r="P513">
        <f>LN(1+Table1[[#This Row],[Blueness]])</f>
        <v>1.9560142304222454</v>
      </c>
      <c r="Q513">
        <f>LN(1+Table1[[#This Row],[L* lab]])</f>
        <v>3.9052279934806435</v>
      </c>
      <c r="R513">
        <f>LN(1+Table1[[#This Row],[a* lab]]+128)</f>
        <v>4.9886363989297395</v>
      </c>
      <c r="S513">
        <f>LN(1+Table1[[#This Row],[b* lab]]+128)</f>
        <v>5.2141570745679457</v>
      </c>
      <c r="T513">
        <f>LN(1+Table1[[#This Row],[Hue]])</f>
        <v>3.6367369669381655</v>
      </c>
      <c r="U513">
        <f>LN(1+Table1[[#This Row],[Saturation]])</f>
        <v>4.5774093497411332</v>
      </c>
      <c r="V513">
        <f>LN(1+Table1[[#This Row],[Value]])</f>
        <v>4.1696674511982144</v>
      </c>
    </row>
    <row r="514" spans="1:23" x14ac:dyDescent="0.3">
      <c r="A514">
        <v>300</v>
      </c>
      <c r="B514">
        <v>154.95626666381301</v>
      </c>
      <c r="C514">
        <v>98.265666804072495</v>
      </c>
      <c r="D514">
        <v>7.05960120972484</v>
      </c>
      <c r="E514">
        <v>46.6654287906359</v>
      </c>
      <c r="F514">
        <v>16.7074826653446</v>
      </c>
      <c r="G514">
        <v>52.764577391317999</v>
      </c>
      <c r="H514">
        <v>37.0012665184776</v>
      </c>
      <c r="I514">
        <v>95.444133134001504</v>
      </c>
      <c r="J514">
        <v>60.767163397573903</v>
      </c>
      <c r="K514" t="s">
        <v>5</v>
      </c>
      <c r="L514">
        <v>5.19</v>
      </c>
      <c r="M514">
        <v>0</v>
      </c>
      <c r="N514">
        <f>LN(1+Table1[[#This Row],[Redness]])</f>
        <v>5.0495756260477664</v>
      </c>
      <c r="O514">
        <f>LN(1+Table1[[#This Row],[Greeness]])</f>
        <v>4.5977997590401962</v>
      </c>
      <c r="P514">
        <f>LN(1+Table1[[#This Row],[Blueness]])</f>
        <v>2.0868640775928422</v>
      </c>
      <c r="Q514">
        <f>LN(1+Table1[[#This Row],[L* lab]])</f>
        <v>3.8642063718273674</v>
      </c>
      <c r="R514">
        <f>LN(1+Table1[[#This Row],[a* lab]]+128)</f>
        <v>4.9816010685423313</v>
      </c>
      <c r="S514">
        <f>LN(1+Table1[[#This Row],[b* lab]]+128)</f>
        <v>5.2027123189267188</v>
      </c>
      <c r="T514">
        <f>LN(1+Table1[[#This Row],[Hue]])</f>
        <v>3.6376194886045936</v>
      </c>
      <c r="U514">
        <f>LN(1+Table1[[#This Row],[Saturation]])</f>
        <v>4.5689639094456647</v>
      </c>
      <c r="V514">
        <f>LN(1+Table1[[#This Row],[Value]])</f>
        <v>4.1233718866454909</v>
      </c>
    </row>
    <row r="515" spans="1:23" x14ac:dyDescent="0.3">
      <c r="A515">
        <v>300</v>
      </c>
      <c r="B515">
        <v>163.26826666366</v>
      </c>
      <c r="C515">
        <v>103.324065667217</v>
      </c>
      <c r="D515">
        <v>6.4243125713920897</v>
      </c>
      <c r="E515">
        <v>48.9991574180927</v>
      </c>
      <c r="F515">
        <v>17.604919265024801</v>
      </c>
      <c r="G515">
        <v>55.066095603090098</v>
      </c>
      <c r="H515">
        <v>37.0685961049494</v>
      </c>
      <c r="I515">
        <v>96.065179901354298</v>
      </c>
      <c r="J515">
        <v>64.026771240651101</v>
      </c>
      <c r="K515" t="s">
        <v>5</v>
      </c>
      <c r="L515">
        <v>5.19</v>
      </c>
      <c r="M515">
        <v>0</v>
      </c>
      <c r="N515">
        <f>LN(1+Table1[[#This Row],[Redness]])</f>
        <v>5.1015008637452013</v>
      </c>
      <c r="O515">
        <f>LN(1+Table1[[#This Row],[Greeness]])</f>
        <v>4.6475020704558867</v>
      </c>
      <c r="P515">
        <f>LN(1+Table1[[#This Row],[Blueness]])</f>
        <v>2.0047600974251987</v>
      </c>
      <c r="Q515">
        <f>LN(1+Table1[[#This Row],[L* lab]])</f>
        <v>3.9120061536480097</v>
      </c>
      <c r="R515">
        <f>LN(1+Table1[[#This Row],[a* lab]]+128)</f>
        <v>4.987741344585511</v>
      </c>
      <c r="S515">
        <f>LN(1+Table1[[#This Row],[b* lab]]+128)</f>
        <v>5.2152949083408249</v>
      </c>
      <c r="T515">
        <f>LN(1+Table1[[#This Row],[Hue]])</f>
        <v>3.6393896930385687</v>
      </c>
      <c r="U515">
        <f>LN(1+Table1[[#This Row],[Saturation]])</f>
        <v>4.5753827105867817</v>
      </c>
      <c r="V515">
        <f>LN(1+Table1[[#This Row],[Value]])</f>
        <v>4.1747990503432169</v>
      </c>
    </row>
    <row r="516" spans="1:23" x14ac:dyDescent="0.3">
      <c r="A516">
        <v>300</v>
      </c>
      <c r="B516">
        <v>157.66311666376299</v>
      </c>
      <c r="C516">
        <v>100.514560743087</v>
      </c>
      <c r="D516">
        <v>7.2923543627350602</v>
      </c>
      <c r="E516">
        <v>47.578177637072201</v>
      </c>
      <c r="F516">
        <v>16.663943900822701</v>
      </c>
      <c r="G516">
        <v>53.527179351024301</v>
      </c>
      <c r="H516">
        <v>37.196941062410602</v>
      </c>
      <c r="I516">
        <v>95.374723957609604</v>
      </c>
      <c r="J516">
        <v>61.828673201475901</v>
      </c>
      <c r="K516" t="s">
        <v>5</v>
      </c>
      <c r="L516">
        <v>5.19</v>
      </c>
      <c r="M516">
        <v>0</v>
      </c>
      <c r="N516">
        <f>LN(1+Table1[[#This Row],[Redness]])</f>
        <v>5.0667831913451291</v>
      </c>
      <c r="O516">
        <f>LN(1+Table1[[#This Row],[Greeness]])</f>
        <v>4.6202022437899881</v>
      </c>
      <c r="P516">
        <f>LN(1+Table1[[#This Row],[Blueness]])</f>
        <v>2.1153339291566668</v>
      </c>
      <c r="Q516">
        <f>LN(1+Table1[[#This Row],[L* lab]])</f>
        <v>3.8831744102535355</v>
      </c>
      <c r="R516">
        <f>LN(1+Table1[[#This Row],[a* lab]]+128)</f>
        <v>4.9813022144964219</v>
      </c>
      <c r="S516">
        <f>LN(1+Table1[[#This Row],[b* lab]]+128)</f>
        <v>5.2068990898846979</v>
      </c>
      <c r="T516">
        <f>LN(1+Table1[[#This Row],[Hue]])</f>
        <v>3.6427554355059573</v>
      </c>
      <c r="U516">
        <f>LN(1+Table1[[#This Row],[Saturation]])</f>
        <v>4.5682439676263131</v>
      </c>
      <c r="V516">
        <f>LN(1+Table1[[#This Row],[Value]])</f>
        <v>4.1404115489147211</v>
      </c>
    </row>
    <row r="517" spans="1:23" x14ac:dyDescent="0.3">
      <c r="A517">
        <v>300</v>
      </c>
      <c r="B517">
        <v>156.00179999712699</v>
      </c>
      <c r="C517">
        <v>99.639822050792105</v>
      </c>
      <c r="D517">
        <v>7.04665705337493</v>
      </c>
      <c r="E517">
        <v>47.143872903875099</v>
      </c>
      <c r="F517">
        <v>16.400380207761199</v>
      </c>
      <c r="G517">
        <v>53.173560804690503</v>
      </c>
      <c r="H517">
        <v>37.297066687673102</v>
      </c>
      <c r="I517">
        <v>95.482964264832404</v>
      </c>
      <c r="J517">
        <v>61.177176469461799</v>
      </c>
      <c r="K517" t="s">
        <v>5</v>
      </c>
      <c r="L517">
        <v>5.19</v>
      </c>
      <c r="M517">
        <v>0</v>
      </c>
      <c r="N517">
        <f>LN(1+Table1[[#This Row],[Redness]])</f>
        <v>5.0562572702324395</v>
      </c>
      <c r="O517">
        <f>LN(1+Table1[[#This Row],[Greeness]])</f>
        <v>4.6115480247748133</v>
      </c>
      <c r="P517">
        <f>LN(1+Table1[[#This Row],[Blueness]])</f>
        <v>2.0852567323081339</v>
      </c>
      <c r="Q517">
        <f>LN(1+Table1[[#This Row],[L* lab]])</f>
        <v>3.874193879968018</v>
      </c>
      <c r="R517">
        <f>LN(1+Table1[[#This Row],[a* lab]]+128)</f>
        <v>4.9794911800049491</v>
      </c>
      <c r="S517">
        <f>LN(1+Table1[[#This Row],[b* lab]]+128)</f>
        <v>5.2049598634548255</v>
      </c>
      <c r="T517">
        <f>LN(1+Table1[[#This Row],[Hue]])</f>
        <v>3.6453733054643918</v>
      </c>
      <c r="U517">
        <f>LN(1+Table1[[#This Row],[Saturation]])</f>
        <v>4.5693664566448797</v>
      </c>
      <c r="V517">
        <f>LN(1+Table1[[#This Row],[Value]])</f>
        <v>4.1299879946169868</v>
      </c>
    </row>
    <row r="518" spans="1:23" x14ac:dyDescent="0.3">
      <c r="A518">
        <v>300</v>
      </c>
      <c r="B518">
        <v>157.05764444155199</v>
      </c>
      <c r="C518">
        <v>101.08002172711301</v>
      </c>
      <c r="D518">
        <v>5.9024797412378698</v>
      </c>
      <c r="E518">
        <v>47.636398409462501</v>
      </c>
      <c r="F518">
        <v>16.042458260551999</v>
      </c>
      <c r="G518">
        <v>53.844790031426498</v>
      </c>
      <c r="H518">
        <v>37.780068782132801</v>
      </c>
      <c r="I518">
        <v>96.241838617772899</v>
      </c>
      <c r="J518">
        <v>61.591233114334301</v>
      </c>
      <c r="K518" t="s">
        <v>5</v>
      </c>
      <c r="L518">
        <v>5.19</v>
      </c>
      <c r="M518">
        <v>0</v>
      </c>
      <c r="N518">
        <f>LN(1+Table1[[#This Row],[Redness]])</f>
        <v>5.0629598047273507</v>
      </c>
      <c r="O518">
        <f>LN(1+Table1[[#This Row],[Greeness]])</f>
        <v>4.6257570324404327</v>
      </c>
      <c r="P518">
        <f>LN(1+Table1[[#This Row],[Blueness]])</f>
        <v>1.9318807298287846</v>
      </c>
      <c r="Q518">
        <f>LN(1+Table1[[#This Row],[L* lab]])</f>
        <v>3.8843721890582916</v>
      </c>
      <c r="R518">
        <f>LN(1+Table1[[#This Row],[a* lab]]+128)</f>
        <v>4.9770265151484701</v>
      </c>
      <c r="S518">
        <f>LN(1+Table1[[#This Row],[b* lab]]+128)</f>
        <v>5.2086376510608039</v>
      </c>
      <c r="T518">
        <f>LN(1+Table1[[#This Row],[Hue]])</f>
        <v>3.6579064234625669</v>
      </c>
      <c r="U518">
        <f>LN(1+Table1[[#This Row],[Saturation]])</f>
        <v>4.5772010573087902</v>
      </c>
      <c r="V518">
        <f>LN(1+Table1[[#This Row],[Value]])</f>
        <v>4.1366252222017863</v>
      </c>
    </row>
    <row r="519" spans="1:23" x14ac:dyDescent="0.3">
      <c r="A519">
        <v>300</v>
      </c>
      <c r="B519">
        <v>159.504888885952</v>
      </c>
      <c r="C519">
        <v>103.543887840035</v>
      </c>
      <c r="D519">
        <v>7.0408655156089299</v>
      </c>
      <c r="E519">
        <v>48.570756614076103</v>
      </c>
      <c r="F519">
        <v>15.774326746582901</v>
      </c>
      <c r="G519">
        <v>54.403086208407103</v>
      </c>
      <c r="H519">
        <v>37.977361553688901</v>
      </c>
      <c r="I519">
        <v>95.585799554618504</v>
      </c>
      <c r="J519">
        <v>62.550936818020297</v>
      </c>
      <c r="K519" t="s">
        <v>5</v>
      </c>
      <c r="L519">
        <v>5.19</v>
      </c>
      <c r="M519">
        <v>0</v>
      </c>
      <c r="N519">
        <f>LN(1+Table1[[#This Row],[Redness]])</f>
        <v>5.0783244024547738</v>
      </c>
      <c r="O519">
        <f>LN(1+Table1[[#This Row],[Greeness]])</f>
        <v>4.6496069625687095</v>
      </c>
      <c r="P519">
        <f>LN(1+Table1[[#This Row],[Blueness]])</f>
        <v>2.0845367285920413</v>
      </c>
      <c r="Q519">
        <f>LN(1+Table1[[#This Row],[L* lab]])</f>
        <v>3.9034010754640311</v>
      </c>
      <c r="R519">
        <f>LN(1+Table1[[#This Row],[a* lab]]+128)</f>
        <v>4.9751761627579763</v>
      </c>
      <c r="S519">
        <f>LN(1+Table1[[#This Row],[b* lab]]+128)</f>
        <v>5.2116863874256385</v>
      </c>
      <c r="T519">
        <f>LN(1+Table1[[#This Row],[Hue]])</f>
        <v>3.6629810046076439</v>
      </c>
      <c r="U519">
        <f>LN(1+Table1[[#This Row],[Saturation]])</f>
        <v>4.570431727872359</v>
      </c>
      <c r="V519">
        <f>LN(1+Table1[[#This Row],[Value]])</f>
        <v>4.1518417389590718</v>
      </c>
    </row>
    <row r="520" spans="1:23" x14ac:dyDescent="0.3">
      <c r="A520">
        <v>300</v>
      </c>
      <c r="B520">
        <v>167.60408888580201</v>
      </c>
      <c r="C520">
        <v>109.953797510545</v>
      </c>
      <c r="D520">
        <v>7.0426432538200796</v>
      </c>
      <c r="E520">
        <v>51.198687300084202</v>
      </c>
      <c r="F520">
        <v>15.8272157322419</v>
      </c>
      <c r="G520">
        <v>56.745669213889201</v>
      </c>
      <c r="H520">
        <v>38.456736803156602</v>
      </c>
      <c r="I520">
        <v>95.798048066345999</v>
      </c>
      <c r="J520">
        <v>65.727093680707</v>
      </c>
      <c r="K520" t="s">
        <v>5</v>
      </c>
      <c r="L520">
        <v>5.19</v>
      </c>
      <c r="M520">
        <v>0</v>
      </c>
      <c r="N520">
        <f>LN(1+Table1[[#This Row],[Redness]])</f>
        <v>5.1275532972653881</v>
      </c>
      <c r="O520">
        <f>LN(1+Table1[[#This Row],[Greeness]])</f>
        <v>4.7091138760172448</v>
      </c>
      <c r="P520">
        <f>LN(1+Table1[[#This Row],[Blueness]])</f>
        <v>2.0847577920731357</v>
      </c>
      <c r="Q520">
        <f>LN(1+Table1[[#This Row],[L* lab]])</f>
        <v>3.9550573470644235</v>
      </c>
      <c r="R520">
        <f>LN(1+Table1[[#This Row],[a* lab]]+128)</f>
        <v>4.9755414162424314</v>
      </c>
      <c r="S520">
        <f>LN(1+Table1[[#This Row],[b* lab]]+128)</f>
        <v>5.2243783681922267</v>
      </c>
      <c r="T520">
        <f>LN(1+Table1[[#This Row],[Hue]])</f>
        <v>3.6752048008535159</v>
      </c>
      <c r="U520">
        <f>LN(1+Table1[[#This Row],[Saturation]])</f>
        <v>4.5726268294753591</v>
      </c>
      <c r="V520">
        <f>LN(1+Table1[[#This Row],[Value]])</f>
        <v>4.2006110725533858</v>
      </c>
    </row>
    <row r="521" spans="1:23" x14ac:dyDescent="0.3">
      <c r="A521">
        <v>300</v>
      </c>
      <c r="B521">
        <v>169.86757777464999</v>
      </c>
      <c r="C521">
        <v>112.067108146698</v>
      </c>
      <c r="D521">
        <v>6.7938043477149401</v>
      </c>
      <c r="E521">
        <v>52.006566369749002</v>
      </c>
      <c r="F521">
        <v>15.658388744252401</v>
      </c>
      <c r="G521">
        <v>57.502625485357697</v>
      </c>
      <c r="H521">
        <v>38.733378735293897</v>
      </c>
      <c r="I521">
        <v>96.000529096419001</v>
      </c>
      <c r="J521">
        <v>66.614736382215696</v>
      </c>
      <c r="K521" t="s">
        <v>5</v>
      </c>
      <c r="L521">
        <v>5.19</v>
      </c>
      <c r="M521">
        <v>0</v>
      </c>
      <c r="N521">
        <f>LN(1+Table1[[#This Row],[Redness]])</f>
        <v>5.1408888575222251</v>
      </c>
      <c r="O521">
        <f>LN(1+Table1[[#This Row],[Greeness]])</f>
        <v>4.7279815198413493</v>
      </c>
      <c r="P521">
        <f>LN(1+Table1[[#This Row],[Blueness]])</f>
        <v>2.0533291036651926</v>
      </c>
      <c r="Q521">
        <f>LN(1+Table1[[#This Row],[L* lab]])</f>
        <v>3.9704157996467719</v>
      </c>
      <c r="R521">
        <f>LN(1+Table1[[#This Row],[a* lab]]+128)</f>
        <v>4.9743750231332804</v>
      </c>
      <c r="S521">
        <f>LN(1+Table1[[#This Row],[b* lab]]+128)</f>
        <v>5.228445316654259</v>
      </c>
      <c r="T521">
        <f>LN(1+Table1[[#This Row],[Hue]])</f>
        <v>3.6821916086292794</v>
      </c>
      <c r="U521">
        <f>LN(1+Table1[[#This Row],[Saturation]])</f>
        <v>4.5747164330907646</v>
      </c>
      <c r="V521">
        <f>LN(1+Table1[[#This Row],[Value]])</f>
        <v>4.2138259531114768</v>
      </c>
    </row>
    <row r="522" spans="1:23" x14ac:dyDescent="0.3">
      <c r="A522">
        <v>400</v>
      </c>
      <c r="B522">
        <v>182.71431670000001</v>
      </c>
      <c r="C522">
        <v>102.6377992</v>
      </c>
      <c r="D522">
        <v>6.4540869089999999</v>
      </c>
      <c r="E522">
        <v>51.478970109999999</v>
      </c>
      <c r="F522">
        <v>26.58524993</v>
      </c>
      <c r="G522">
        <v>57.905829799999999</v>
      </c>
      <c r="H522">
        <v>32.74149105</v>
      </c>
      <c r="I522">
        <v>96.467662180000005</v>
      </c>
      <c r="J522">
        <v>71.652673199999995</v>
      </c>
      <c r="K522" t="s">
        <v>5</v>
      </c>
      <c r="L522" s="3">
        <v>6.92</v>
      </c>
      <c r="M522">
        <v>0</v>
      </c>
      <c r="N522">
        <f>LN(1+Table1[[#This Row],[Redness]])</f>
        <v>5.2133819244047563</v>
      </c>
      <c r="O522">
        <f>LN(1+Table1[[#This Row],[Greeness]])</f>
        <v>4.6409021204240579</v>
      </c>
      <c r="P522">
        <f>LN(1+Table1[[#This Row],[Blueness]])</f>
        <v>2.0087624603666119</v>
      </c>
      <c r="Q522">
        <f>LN(1+Table1[[#This Row],[L* lab]])</f>
        <v>3.9604125200149185</v>
      </c>
      <c r="R522">
        <f>LN(1+Table1[[#This Row],[a* lab]]+128)</f>
        <v>5.0471938124566362</v>
      </c>
      <c r="S522">
        <f>LN(1+Table1[[#This Row],[b* lab]]+128)</f>
        <v>5.2306049060563815</v>
      </c>
      <c r="T522">
        <f>LN(1+Table1[[#This Row],[Hue]])</f>
        <v>3.5187282684946588</v>
      </c>
      <c r="U522">
        <f>LN(1+Table1[[#This Row],[Saturation]])</f>
        <v>4.5795206530404418</v>
      </c>
      <c r="V522">
        <f>LN(1+Table1[[#This Row],[Value]])</f>
        <v>4.2856901849346709</v>
      </c>
      <c r="W522" t="s">
        <v>26</v>
      </c>
    </row>
    <row r="523" spans="1:23" x14ac:dyDescent="0.3">
      <c r="A523">
        <v>400</v>
      </c>
      <c r="B523">
        <v>182.6076333</v>
      </c>
      <c r="C523">
        <v>102.5936547</v>
      </c>
      <c r="D523">
        <v>3.8812386160000001</v>
      </c>
      <c r="E523">
        <v>51.440116670000002</v>
      </c>
      <c r="F523">
        <v>26.515645070000001</v>
      </c>
      <c r="G523">
        <v>58.496637999999997</v>
      </c>
      <c r="H523">
        <v>33.13861378</v>
      </c>
      <c r="I523">
        <v>97.874547440000001</v>
      </c>
      <c r="J523">
        <v>71.610836599999999</v>
      </c>
      <c r="K523" t="s">
        <v>5</v>
      </c>
      <c r="L523" s="3">
        <v>6.92</v>
      </c>
      <c r="M523">
        <v>0</v>
      </c>
      <c r="N523">
        <f>LN(1+Table1[[#This Row],[Redness]])</f>
        <v>5.2128010530302049</v>
      </c>
      <c r="O523">
        <f>LN(1+Table1[[#This Row],[Greeness]])</f>
        <v>4.6404760798801448</v>
      </c>
      <c r="P523">
        <f>LN(1+Table1[[#This Row],[Blueness]])</f>
        <v>1.5853990024136388</v>
      </c>
      <c r="Q523">
        <f>LN(1+Table1[[#This Row],[L* lab]])</f>
        <v>3.9596718837213993</v>
      </c>
      <c r="R523">
        <f>LN(1+Table1[[#This Row],[a* lab]]+128)</f>
        <v>5.0467463379409399</v>
      </c>
      <c r="S523">
        <f>LN(1+Table1[[#This Row],[b* lab]]+128)</f>
        <v>5.2337609145830424</v>
      </c>
      <c r="T523">
        <f>LN(1+Table1[[#This Row],[Hue]])</f>
        <v>3.5304291125583336</v>
      </c>
      <c r="U523">
        <f>LN(1+Table1[[#This Row],[Saturation]])</f>
        <v>4.5938518489850546</v>
      </c>
      <c r="V523">
        <f>LN(1+Table1[[#This Row],[Value]])</f>
        <v>4.285114175154729</v>
      </c>
      <c r="W523" t="s">
        <v>26</v>
      </c>
    </row>
    <row r="524" spans="1:23" x14ac:dyDescent="0.3">
      <c r="A524">
        <v>400</v>
      </c>
      <c r="B524">
        <v>182.70536670000001</v>
      </c>
      <c r="C524">
        <v>104.5683654</v>
      </c>
      <c r="D524">
        <v>3.5650373210000001</v>
      </c>
      <c r="E524">
        <v>51.90143759</v>
      </c>
      <c r="F524">
        <v>25.476037040000001</v>
      </c>
      <c r="G524">
        <v>58.874851139999997</v>
      </c>
      <c r="H524">
        <v>33.829343209999998</v>
      </c>
      <c r="I524">
        <v>98.048750630000001</v>
      </c>
      <c r="J524">
        <v>71.649163400000006</v>
      </c>
      <c r="K524" t="s">
        <v>5</v>
      </c>
      <c r="L524" s="3">
        <v>6.92</v>
      </c>
      <c r="M524">
        <v>0</v>
      </c>
      <c r="N524">
        <f>LN(1+Table1[[#This Row],[Redness]])</f>
        <v>5.2133332062744762</v>
      </c>
      <c r="O524">
        <f>LN(1+Table1[[#This Row],[Greeness]])</f>
        <v>4.6593587563163252</v>
      </c>
      <c r="P524">
        <f>LN(1+Table1[[#This Row],[Blueness]])</f>
        <v>1.5184266894790113</v>
      </c>
      <c r="Q524">
        <f>LN(1+Table1[[#This Row],[L* lab]])</f>
        <v>3.9684305141093703</v>
      </c>
      <c r="R524">
        <f>LN(1+Table1[[#This Row],[a* lab]]+128)</f>
        <v>5.0400389842438162</v>
      </c>
      <c r="S524">
        <f>LN(1+Table1[[#This Row],[b* lab]]+128)</f>
        <v>5.235776055737495</v>
      </c>
      <c r="T524">
        <f>LN(1+Table1[[#This Row],[Hue]])</f>
        <v>3.5504602271803036</v>
      </c>
      <c r="U524">
        <f>LN(1+Table1[[#This Row],[Saturation]])</f>
        <v>4.5956121595364881</v>
      </c>
      <c r="V524">
        <f>LN(1+Table1[[#This Row],[Value]])</f>
        <v>4.2856418744647851</v>
      </c>
      <c r="W524" t="s">
        <v>26</v>
      </c>
    </row>
    <row r="525" spans="1:23" x14ac:dyDescent="0.3">
      <c r="A525">
        <v>400</v>
      </c>
      <c r="B525">
        <v>186.15465</v>
      </c>
      <c r="C525">
        <v>109.464581</v>
      </c>
      <c r="D525">
        <v>3.7806297440000001</v>
      </c>
      <c r="E525">
        <v>53.50088109</v>
      </c>
      <c r="F525">
        <v>24.29417922</v>
      </c>
      <c r="G525">
        <v>60.116690339999998</v>
      </c>
      <c r="H525">
        <v>34.769409940000003</v>
      </c>
      <c r="I525">
        <v>97.96909196</v>
      </c>
      <c r="J525">
        <v>73.001823529999996</v>
      </c>
      <c r="K525" t="s">
        <v>5</v>
      </c>
      <c r="L525" s="3">
        <v>6.92</v>
      </c>
      <c r="M525">
        <v>0</v>
      </c>
      <c r="N525">
        <f>LN(1+Table1[[#This Row],[Redness]])</f>
        <v>5.2319352804216805</v>
      </c>
      <c r="O525">
        <f>LN(1+Table1[[#This Row],[Greeness]])</f>
        <v>4.7046949356391732</v>
      </c>
      <c r="P525">
        <f>LN(1+Table1[[#This Row],[Blueness]])</f>
        <v>1.564572283432369</v>
      </c>
      <c r="Q525">
        <f>LN(1+Table1[[#This Row],[L* lab]])</f>
        <v>3.9982168683275079</v>
      </c>
      <c r="R525">
        <f>LN(1+Table1[[#This Row],[a* lab]]+128)</f>
        <v>5.0323588152938807</v>
      </c>
      <c r="S525">
        <f>LN(1+Table1[[#This Row],[b* lab]]+128)</f>
        <v>5.2423642337473417</v>
      </c>
      <c r="T525">
        <f>LN(1+Table1[[#This Row],[Hue]])</f>
        <v>3.5770930571885433</v>
      </c>
      <c r="U525">
        <f>LN(1+Table1[[#This Row],[Saturation]])</f>
        <v>4.5948075989650246</v>
      </c>
      <c r="V525">
        <f>LN(1+Table1[[#This Row],[Value]])</f>
        <v>4.3040897351978504</v>
      </c>
      <c r="W525" t="s">
        <v>26</v>
      </c>
    </row>
    <row r="526" spans="1:23" x14ac:dyDescent="0.3">
      <c r="A526">
        <v>400</v>
      </c>
      <c r="B526">
        <v>147.81711110838901</v>
      </c>
      <c r="C526">
        <v>91.134779517822096</v>
      </c>
      <c r="D526">
        <v>6.5380322625863299</v>
      </c>
      <c r="E526">
        <v>43.9437102832796</v>
      </c>
      <c r="F526">
        <v>17.5182108887795</v>
      </c>
      <c r="G526">
        <v>50.507830521069799</v>
      </c>
      <c r="H526">
        <v>35.927505167655099</v>
      </c>
      <c r="I526">
        <v>95.576944906065506</v>
      </c>
      <c r="J526">
        <v>57.967494552309503</v>
      </c>
      <c r="K526" t="s">
        <v>5</v>
      </c>
      <c r="L526">
        <v>6.92</v>
      </c>
      <c r="M526">
        <v>0</v>
      </c>
      <c r="N526">
        <f>LN(1+Table1[[#This Row],[Redness]])</f>
        <v>5.0027181097956781</v>
      </c>
      <c r="O526">
        <f>LN(1+Table1[[#This Row],[Greeness]])</f>
        <v>4.5232524997500656</v>
      </c>
      <c r="P526">
        <f>LN(1+Table1[[#This Row],[Blueness]])</f>
        <v>2.0199611748286648</v>
      </c>
      <c r="Q526">
        <f>LN(1+Table1[[#This Row],[L* lab]])</f>
        <v>3.8054108241698672</v>
      </c>
      <c r="R526">
        <f>LN(1+Table1[[#This Row],[a* lab]]+128)</f>
        <v>4.987149727139772</v>
      </c>
      <c r="S526">
        <f>LN(1+Table1[[#This Row],[b* lab]]+128)</f>
        <v>5.190218831049644</v>
      </c>
      <c r="T526">
        <f>LN(1+Table1[[#This Row],[Hue]])</f>
        <v>3.60895667087317</v>
      </c>
      <c r="U526">
        <f>LN(1+Table1[[#This Row],[Saturation]])</f>
        <v>4.5703400471646329</v>
      </c>
      <c r="V526">
        <f>LN(1+Table1[[#This Row],[Value]])</f>
        <v>4.0769863522912617</v>
      </c>
    </row>
    <row r="527" spans="1:23" x14ac:dyDescent="0.3">
      <c r="A527">
        <v>400</v>
      </c>
      <c r="B527">
        <v>152.41879999719299</v>
      </c>
      <c r="C527">
        <v>95.513889644745603</v>
      </c>
      <c r="D527">
        <v>6.6561185232616902</v>
      </c>
      <c r="E527">
        <v>45.644384347472801</v>
      </c>
      <c r="F527">
        <v>17.115863326112098</v>
      </c>
      <c r="G527">
        <v>51.9815331913072</v>
      </c>
      <c r="H527">
        <v>36.576345971259499</v>
      </c>
      <c r="I527">
        <v>95.633006870947497</v>
      </c>
      <c r="J527">
        <v>59.772078430271897</v>
      </c>
      <c r="K527" t="s">
        <v>5</v>
      </c>
      <c r="L527">
        <v>6.92</v>
      </c>
      <c r="M527">
        <v>0</v>
      </c>
      <c r="N527">
        <f>LN(1+Table1[[#This Row],[Redness]])</f>
        <v>5.0331714368162492</v>
      </c>
      <c r="O527">
        <f>LN(1+Table1[[#This Row],[Greeness]])</f>
        <v>4.5696869321298568</v>
      </c>
      <c r="P527">
        <f>LN(1+Table1[[#This Row],[Blueness]])</f>
        <v>2.0355051351256095</v>
      </c>
      <c r="Q527">
        <f>LN(1+Table1[[#This Row],[L* lab]])</f>
        <v>3.8425525416437072</v>
      </c>
      <c r="R527">
        <f>LN(1+Table1[[#This Row],[a* lab]]+128)</f>
        <v>4.9843998914121359</v>
      </c>
      <c r="S527">
        <f>LN(1+Table1[[#This Row],[b* lab]]+128)</f>
        <v>5.1983949994933978</v>
      </c>
      <c r="T527">
        <f>LN(1+Table1[[#This Row],[Hue]])</f>
        <v>3.6263747559225541</v>
      </c>
      <c r="U527">
        <f>LN(1+Table1[[#This Row],[Saturation]])</f>
        <v>4.5709203688917466</v>
      </c>
      <c r="V527">
        <f>LN(1+Table1[[#This Row],[Value]])</f>
        <v>4.1071304471466039</v>
      </c>
    </row>
    <row r="528" spans="1:23" x14ac:dyDescent="0.3">
      <c r="A528">
        <v>400</v>
      </c>
      <c r="B528">
        <v>151.919266663869</v>
      </c>
      <c r="C528">
        <v>95.340934128061093</v>
      </c>
      <c r="D528">
        <v>6.6976064887643103</v>
      </c>
      <c r="E528">
        <v>45.5350001804835</v>
      </c>
      <c r="F528">
        <v>16.986188433933801</v>
      </c>
      <c r="G528">
        <v>51.864214145683</v>
      </c>
      <c r="H528">
        <v>36.624010853096898</v>
      </c>
      <c r="I528">
        <v>95.591338323411406</v>
      </c>
      <c r="J528">
        <v>59.576183005438899</v>
      </c>
      <c r="K528" t="s">
        <v>5</v>
      </c>
      <c r="L528">
        <v>6.92</v>
      </c>
      <c r="M528">
        <v>0</v>
      </c>
      <c r="N528">
        <f>LN(1+Table1[[#This Row],[Redness]])</f>
        <v>5.029910113262626</v>
      </c>
      <c r="O528">
        <f>LN(1+Table1[[#This Row],[Greeness]])</f>
        <v>4.5678932973151367</v>
      </c>
      <c r="P528">
        <f>LN(1+Table1[[#This Row],[Blueness]])</f>
        <v>2.0409094349221011</v>
      </c>
      <c r="Q528">
        <f>LN(1+Table1[[#This Row],[L* lab]])</f>
        <v>3.8402047215161201</v>
      </c>
      <c r="R528">
        <f>LN(1+Table1[[#This Row],[a* lab]]+128)</f>
        <v>4.9835120174659195</v>
      </c>
      <c r="S528">
        <f>LN(1+Table1[[#This Row],[b* lab]]+128)</f>
        <v>5.197746551636274</v>
      </c>
      <c r="T528">
        <f>LN(1+Table1[[#This Row],[Hue]])</f>
        <v>3.6276424331047745</v>
      </c>
      <c r="U528">
        <f>LN(1+Table1[[#This Row],[Saturation]])</f>
        <v>4.5704890718091749</v>
      </c>
      <c r="V528">
        <f>LN(1+Table1[[#This Row],[Value]])</f>
        <v>4.1039017961105504</v>
      </c>
    </row>
    <row r="529" spans="1:22" x14ac:dyDescent="0.3">
      <c r="A529">
        <v>400</v>
      </c>
      <c r="B529">
        <v>152.83144444163</v>
      </c>
      <c r="C529">
        <v>95.914533999146897</v>
      </c>
      <c r="D529">
        <v>6.5094106773868798</v>
      </c>
      <c r="E529">
        <v>45.799768625317597</v>
      </c>
      <c r="F529">
        <v>17.071257673312601</v>
      </c>
      <c r="G529">
        <v>52.145588618529203</v>
      </c>
      <c r="H529">
        <v>36.660968012163202</v>
      </c>
      <c r="I529">
        <v>95.7407909732391</v>
      </c>
      <c r="J529">
        <v>59.933899781031499</v>
      </c>
      <c r="K529" t="s">
        <v>5</v>
      </c>
      <c r="L529">
        <v>6.92</v>
      </c>
      <c r="M529">
        <v>0</v>
      </c>
      <c r="N529">
        <f>LN(1+Table1[[#This Row],[Redness]])</f>
        <v>5.0358574863801051</v>
      </c>
      <c r="O529">
        <f>LN(1+Table1[[#This Row],[Greeness]])</f>
        <v>4.5738294973206735</v>
      </c>
      <c r="P529">
        <f>LN(1+Table1[[#This Row],[Blueness]])</f>
        <v>2.0161569909775201</v>
      </c>
      <c r="Q529">
        <f>LN(1+Table1[[#This Row],[L* lab]])</f>
        <v>3.8458782590079097</v>
      </c>
      <c r="R529">
        <f>LN(1+Table1[[#This Row],[a* lab]]+128)</f>
        <v>4.9840945688983069</v>
      </c>
      <c r="S529">
        <f>LN(1+Table1[[#This Row],[b* lab]]+128)</f>
        <v>5.1993010649525413</v>
      </c>
      <c r="T529">
        <f>LN(1+Table1[[#This Row],[Hue]])</f>
        <v>3.6286242268860041</v>
      </c>
      <c r="U529">
        <f>LN(1+Table1[[#This Row],[Saturation]])</f>
        <v>4.5720351436405009</v>
      </c>
      <c r="V529">
        <f>LN(1+Table1[[#This Row],[Value]])</f>
        <v>4.1097896664963374</v>
      </c>
    </row>
    <row r="530" spans="1:22" x14ac:dyDescent="0.3">
      <c r="A530">
        <v>400</v>
      </c>
      <c r="B530">
        <v>154.987755552701</v>
      </c>
      <c r="C530">
        <v>98.603022283808698</v>
      </c>
      <c r="D530">
        <v>6.2689049191464896</v>
      </c>
      <c r="E530">
        <v>46.7512281119633</v>
      </c>
      <c r="F530">
        <v>16.515945069661999</v>
      </c>
      <c r="G530">
        <v>53.007450432708097</v>
      </c>
      <c r="H530">
        <v>37.251814536480403</v>
      </c>
      <c r="I530">
        <v>95.9552256907063</v>
      </c>
      <c r="J530">
        <v>60.779511981451698</v>
      </c>
      <c r="K530" t="s">
        <v>5</v>
      </c>
      <c r="L530">
        <v>6.92</v>
      </c>
      <c r="M530">
        <v>0</v>
      </c>
      <c r="N530">
        <f>LN(1+Table1[[#This Row],[Redness]])</f>
        <v>5.0497775141222441</v>
      </c>
      <c r="O530">
        <f>LN(1+Table1[[#This Row],[Greeness]])</f>
        <v>4.6011925083451226</v>
      </c>
      <c r="P530">
        <f>LN(1+Table1[[#This Row],[Blueness]])</f>
        <v>1.983605650095928</v>
      </c>
      <c r="Q530">
        <f>LN(1+Table1[[#This Row],[L* lab]])</f>
        <v>3.8660047862182636</v>
      </c>
      <c r="R530">
        <f>LN(1+Table1[[#This Row],[a* lab]]+128)</f>
        <v>4.9802856687148518</v>
      </c>
      <c r="S530">
        <f>LN(1+Table1[[#This Row],[b* lab]]+128)</f>
        <v>5.2040476226823733</v>
      </c>
      <c r="T530">
        <f>LN(1+Table1[[#This Row],[Hue]])</f>
        <v>3.6441909980095906</v>
      </c>
      <c r="U530">
        <f>LN(1+Table1[[#This Row],[Saturation]])</f>
        <v>4.5742492811200863</v>
      </c>
      <c r="V530">
        <f>LN(1+Table1[[#This Row],[Value]])</f>
        <v>4.1235717881625655</v>
      </c>
    </row>
    <row r="531" spans="1:22" x14ac:dyDescent="0.3">
      <c r="A531">
        <v>400</v>
      </c>
      <c r="B531">
        <v>165.174377774736</v>
      </c>
      <c r="C531">
        <v>105.591509602063</v>
      </c>
      <c r="D531">
        <v>6.84737259990548</v>
      </c>
      <c r="E531">
        <v>49.804630212351398</v>
      </c>
      <c r="F531">
        <v>17.191926575813799</v>
      </c>
      <c r="G531">
        <v>55.671671017999898</v>
      </c>
      <c r="H531">
        <v>37.420326454019701</v>
      </c>
      <c r="I531">
        <v>95.854458365664996</v>
      </c>
      <c r="J531">
        <v>64.774265794014298</v>
      </c>
      <c r="K531" t="s">
        <v>5</v>
      </c>
      <c r="L531">
        <v>6.92</v>
      </c>
      <c r="M531">
        <v>0</v>
      </c>
      <c r="N531">
        <f>LN(1+Table1[[#This Row],[Redness]])</f>
        <v>5.1130377055230785</v>
      </c>
      <c r="O531">
        <f>LN(1+Table1[[#This Row],[Greeness]])</f>
        <v>4.6690038612995357</v>
      </c>
      <c r="P531">
        <f>LN(1+Table1[[#This Row],[Blueness]])</f>
        <v>2.06017877512057</v>
      </c>
      <c r="Q531">
        <f>LN(1+Table1[[#This Row],[L* lab]])</f>
        <v>3.927987496343329</v>
      </c>
      <c r="R531">
        <f>LN(1+Table1[[#This Row],[a* lab]]+128)</f>
        <v>4.9849203240112399</v>
      </c>
      <c r="S531">
        <f>LN(1+Table1[[#This Row],[b* lab]]+128)</f>
        <v>5.2185794970874433</v>
      </c>
      <c r="T531">
        <f>LN(1+Table1[[#This Row],[Hue]])</f>
        <v>3.6485866542855634</v>
      </c>
      <c r="U531">
        <f>LN(1+Table1[[#This Row],[Saturation]])</f>
        <v>4.5732094225122779</v>
      </c>
      <c r="V531">
        <f>LN(1+Table1[[#This Row],[Value]])</f>
        <v>4.1862286644773485</v>
      </c>
    </row>
    <row r="532" spans="1:22" x14ac:dyDescent="0.3">
      <c r="A532">
        <v>400</v>
      </c>
      <c r="B532">
        <v>165.84888888583501</v>
      </c>
      <c r="C532">
        <v>106.54450938788</v>
      </c>
      <c r="D532">
        <v>6.7183838041070798</v>
      </c>
      <c r="E532">
        <v>50.127513890193498</v>
      </c>
      <c r="F532">
        <v>16.954659860462002</v>
      </c>
      <c r="G532">
        <v>55.961301613158199</v>
      </c>
      <c r="H532">
        <v>37.639342198720399</v>
      </c>
      <c r="I532">
        <v>95.949093268431895</v>
      </c>
      <c r="J532">
        <v>65.038779955229401</v>
      </c>
      <c r="K532" t="s">
        <v>5</v>
      </c>
      <c r="L532">
        <v>6.92</v>
      </c>
      <c r="M532">
        <v>0</v>
      </c>
      <c r="N532">
        <f>LN(1+Table1[[#This Row],[Redness]])</f>
        <v>5.1170885458155153</v>
      </c>
      <c r="O532">
        <f>LN(1+Table1[[#This Row],[Greeness]])</f>
        <v>4.6779048026939591</v>
      </c>
      <c r="P532">
        <f>LN(1+Table1[[#This Row],[Blueness]])</f>
        <v>2.0436049903199369</v>
      </c>
      <c r="Q532">
        <f>LN(1+Table1[[#This Row],[L* lab]])</f>
        <v>3.9343227846004174</v>
      </c>
      <c r="R532">
        <f>LN(1+Table1[[#This Row],[a* lab]]+128)</f>
        <v>4.9832960245770961</v>
      </c>
      <c r="S532">
        <f>LN(1+Table1[[#This Row],[b* lab]]+128)</f>
        <v>5.2201466227276239</v>
      </c>
      <c r="T532">
        <f>LN(1+Table1[[#This Row],[Hue]])</f>
        <v>3.6542709853567703</v>
      </c>
      <c r="U532">
        <f>LN(1+Table1[[#This Row],[Saturation]])</f>
        <v>4.5741860290758884</v>
      </c>
      <c r="V532">
        <f>LN(1+Table1[[#This Row],[Value]])</f>
        <v>4.1902421445510116</v>
      </c>
    </row>
    <row r="533" spans="1:22" x14ac:dyDescent="0.3">
      <c r="A533">
        <v>400</v>
      </c>
      <c r="B533">
        <v>165.93439999694399</v>
      </c>
      <c r="C533">
        <v>106.80335377415</v>
      </c>
      <c r="D533">
        <v>6.90196027385148</v>
      </c>
      <c r="E533">
        <v>50.203945407995597</v>
      </c>
      <c r="F533">
        <v>16.848520655551599</v>
      </c>
      <c r="G533">
        <v>55.980384973665601</v>
      </c>
      <c r="H533">
        <v>37.690949220516302</v>
      </c>
      <c r="I533">
        <v>95.840548871132995</v>
      </c>
      <c r="J533">
        <v>65.072313724292002</v>
      </c>
      <c r="K533" t="s">
        <v>5</v>
      </c>
      <c r="L533">
        <v>6.92</v>
      </c>
      <c r="M533">
        <v>0</v>
      </c>
      <c r="N533">
        <f>LN(1+Table1[[#This Row],[Redness]])</f>
        <v>5.1176009208554154</v>
      </c>
      <c r="O533">
        <f>LN(1+Table1[[#This Row],[Greeness]])</f>
        <v>4.6803087690684153</v>
      </c>
      <c r="P533">
        <f>LN(1+Table1[[#This Row],[Blueness]])</f>
        <v>2.0671108646229146</v>
      </c>
      <c r="Q533">
        <f>LN(1+Table1[[#This Row],[L* lab]])</f>
        <v>3.935816587826503</v>
      </c>
      <c r="R533">
        <f>LN(1+Table1[[#This Row],[a* lab]]+128)</f>
        <v>4.9825685533452635</v>
      </c>
      <c r="S533">
        <f>LN(1+Table1[[#This Row],[b* lab]]+128)</f>
        <v>5.2202497922876718</v>
      </c>
      <c r="T533">
        <f>LN(1+Table1[[#This Row],[Hue]])</f>
        <v>3.6556057024129229</v>
      </c>
      <c r="U533">
        <f>LN(1+Table1[[#This Row],[Saturation]])</f>
        <v>4.5730657998680559</v>
      </c>
      <c r="V533">
        <f>LN(1+Table1[[#This Row],[Value]])</f>
        <v>4.1907498047156322</v>
      </c>
    </row>
    <row r="534" spans="1:22" x14ac:dyDescent="0.3">
      <c r="A534">
        <v>400</v>
      </c>
      <c r="B534">
        <v>166.23751110805</v>
      </c>
      <c r="C534">
        <v>107.126198146036</v>
      </c>
      <c r="D534">
        <v>5.9208404436998601</v>
      </c>
      <c r="E534">
        <v>50.320658459482601</v>
      </c>
      <c r="F534">
        <v>16.788319555232899</v>
      </c>
      <c r="G534">
        <v>56.277210987871101</v>
      </c>
      <c r="H534">
        <v>37.877043210644203</v>
      </c>
      <c r="I534">
        <v>96.438324657151796</v>
      </c>
      <c r="J534">
        <v>65.191180826686306</v>
      </c>
      <c r="K534" t="s">
        <v>5</v>
      </c>
      <c r="L534">
        <v>6.92</v>
      </c>
      <c r="M534">
        <v>0</v>
      </c>
      <c r="N534">
        <f>LN(1+Table1[[#This Row],[Redness]])</f>
        <v>5.1194150242205438</v>
      </c>
      <c r="O534">
        <f>LN(1+Table1[[#This Row],[Greeness]])</f>
        <v>4.6832990463100561</v>
      </c>
      <c r="P534">
        <f>LN(1+Table1[[#This Row],[Blueness]])</f>
        <v>1.9345372136566676</v>
      </c>
      <c r="Q534">
        <f>LN(1+Table1[[#This Row],[L* lab]])</f>
        <v>3.9380933701304923</v>
      </c>
      <c r="R534">
        <f>LN(1+Table1[[#This Row],[a* lab]]+128)</f>
        <v>4.9821557035754589</v>
      </c>
      <c r="S534">
        <f>LN(1+Table1[[#This Row],[b* lab]]+128)</f>
        <v>5.2218531413129519</v>
      </c>
      <c r="T534">
        <f>LN(1+Table1[[#This Row],[Hue]])</f>
        <v>3.6604039275914126</v>
      </c>
      <c r="U534">
        <f>LN(1+Table1[[#This Row],[Saturation]])</f>
        <v>4.5792196102295373</v>
      </c>
      <c r="V534">
        <f>LN(1+Table1[[#This Row],[Value]])</f>
        <v>4.192547233927681</v>
      </c>
    </row>
    <row r="535" spans="1:22" x14ac:dyDescent="0.3">
      <c r="A535">
        <v>400</v>
      </c>
      <c r="B535">
        <v>158.48728888597</v>
      </c>
      <c r="C535">
        <v>102.487265855285</v>
      </c>
      <c r="D535">
        <v>5.8133317253808201</v>
      </c>
      <c r="E535">
        <v>48.173328781958702</v>
      </c>
      <c r="F535">
        <v>15.890920402174199</v>
      </c>
      <c r="G535">
        <v>54.325586414932303</v>
      </c>
      <c r="H535">
        <v>37.992308286691397</v>
      </c>
      <c r="I535">
        <v>96.331988662154799</v>
      </c>
      <c r="J535">
        <v>62.1518779944983</v>
      </c>
      <c r="K535" t="s">
        <v>5</v>
      </c>
      <c r="L535">
        <v>6.92</v>
      </c>
      <c r="M535">
        <v>0</v>
      </c>
      <c r="N535">
        <f>LN(1+Table1[[#This Row],[Redness]])</f>
        <v>5.0719642255443125</v>
      </c>
      <c r="O535">
        <f>LN(1+Table1[[#This Row],[Greeness]])</f>
        <v>4.639448569921333</v>
      </c>
      <c r="P535">
        <f>LN(1+Table1[[#This Row],[Blueness]])</f>
        <v>1.9188812406665081</v>
      </c>
      <c r="Q535">
        <f>LN(1+Table1[[#This Row],[L* lab]])</f>
        <v>3.8953513785823883</v>
      </c>
      <c r="R535">
        <f>LN(1+Table1[[#This Row],[a* lab]]+128)</f>
        <v>4.9759811862327332</v>
      </c>
      <c r="S535">
        <f>LN(1+Table1[[#This Row],[b* lab]]+128)</f>
        <v>5.2112637327470495</v>
      </c>
      <c r="T535">
        <f>LN(1+Table1[[#This Row],[Hue]])</f>
        <v>3.6633644032603812</v>
      </c>
      <c r="U535">
        <f>LN(1+Table1[[#This Row],[Saturation]])</f>
        <v>4.5781276983898946</v>
      </c>
      <c r="V535">
        <f>LN(1+Table1[[#This Row],[Value]])</f>
        <v>4.1455425869845346</v>
      </c>
    </row>
    <row r="536" spans="1:22" x14ac:dyDescent="0.3">
      <c r="A536">
        <v>400</v>
      </c>
      <c r="B536">
        <v>158.620999997079</v>
      </c>
      <c r="C536">
        <v>102.75537690613901</v>
      </c>
      <c r="D536">
        <v>6.1585462642576996</v>
      </c>
      <c r="E536">
        <v>48.258041595735499</v>
      </c>
      <c r="F536">
        <v>15.804998041624</v>
      </c>
      <c r="G536">
        <v>54.322973104044998</v>
      </c>
      <c r="H536">
        <v>38.014669819426999</v>
      </c>
      <c r="I536">
        <v>96.117445820937206</v>
      </c>
      <c r="J536">
        <v>62.2043137243448</v>
      </c>
      <c r="K536" t="s">
        <v>5</v>
      </c>
      <c r="L536">
        <v>6.92</v>
      </c>
      <c r="M536">
        <v>0</v>
      </c>
      <c r="N536">
        <f>LN(1+Table1[[#This Row],[Redness]])</f>
        <v>5.0728022552890266</v>
      </c>
      <c r="O536">
        <f>LN(1+Table1[[#This Row],[Greeness]])</f>
        <v>4.6420359833692473</v>
      </c>
      <c r="P536">
        <f>LN(1+Table1[[#This Row],[Blueness]])</f>
        <v>1.9683069246398142</v>
      </c>
      <c r="Q536">
        <f>LN(1+Table1[[#This Row],[L* lab]])</f>
        <v>3.8970726354208702</v>
      </c>
      <c r="R536">
        <f>LN(1+Table1[[#This Row],[a* lab]]+128)</f>
        <v>4.9753879962179672</v>
      </c>
      <c r="S536">
        <f>LN(1+Table1[[#This Row],[b* lab]]+128)</f>
        <v>5.2112494776200649</v>
      </c>
      <c r="T536">
        <f>LN(1+Table1[[#This Row],[Hue]])</f>
        <v>3.6639377246193421</v>
      </c>
      <c r="U536">
        <f>LN(1+Table1[[#This Row],[Saturation]])</f>
        <v>4.5759210277575448</v>
      </c>
      <c r="V536">
        <f>LN(1+Table1[[#This Row],[Value]])</f>
        <v>4.1463725539555742</v>
      </c>
    </row>
    <row r="537" spans="1:22" x14ac:dyDescent="0.3">
      <c r="A537">
        <v>400</v>
      </c>
      <c r="B537">
        <v>158.47215555263699</v>
      </c>
      <c r="C537">
        <v>102.650976929602</v>
      </c>
      <c r="D537">
        <v>6.1058418817291402</v>
      </c>
      <c r="E537">
        <v>48.212517999422303</v>
      </c>
      <c r="F537">
        <v>15.7958336163012</v>
      </c>
      <c r="G537">
        <v>54.291041788661403</v>
      </c>
      <c r="H537">
        <v>38.018299211359199</v>
      </c>
      <c r="I537">
        <v>96.147056963769799</v>
      </c>
      <c r="J537">
        <v>62.145943353975497</v>
      </c>
      <c r="K537" t="s">
        <v>5</v>
      </c>
      <c r="L537">
        <v>6.92</v>
      </c>
      <c r="M537">
        <v>0</v>
      </c>
      <c r="N537">
        <f>LN(1+Table1[[#This Row],[Redness]])</f>
        <v>5.0718693336475011</v>
      </c>
      <c r="O537">
        <f>LN(1+Table1[[#This Row],[Greeness]])</f>
        <v>4.641029264110907</v>
      </c>
      <c r="P537">
        <f>LN(1+Table1[[#This Row],[Blueness]])</f>
        <v>1.9609172459762543</v>
      </c>
      <c r="Q537">
        <f>LN(1+Table1[[#This Row],[L* lab]])</f>
        <v>3.8961480220187816</v>
      </c>
      <c r="R537">
        <f>LN(1+Table1[[#This Row],[a* lab]]+128)</f>
        <v>4.9753247061695687</v>
      </c>
      <c r="S537">
        <f>LN(1+Table1[[#This Row],[b* lab]]+128)</f>
        <v>5.2110752817946615</v>
      </c>
      <c r="T537">
        <f>LN(1+Table1[[#This Row],[Hue]])</f>
        <v>3.6640307466324709</v>
      </c>
      <c r="U537">
        <f>LN(1+Table1[[#This Row],[Saturation]])</f>
        <v>4.5762258816308723</v>
      </c>
      <c r="V537">
        <f>LN(1+Table1[[#This Row],[Value]])</f>
        <v>4.1454486084746316</v>
      </c>
    </row>
    <row r="538" spans="1:22" x14ac:dyDescent="0.3">
      <c r="A538">
        <v>500</v>
      </c>
      <c r="B538">
        <v>156.2865777749</v>
      </c>
      <c r="C538">
        <v>76.249582863210605</v>
      </c>
      <c r="D538">
        <v>6.2816379690838202</v>
      </c>
      <c r="E538">
        <v>41.713426649088497</v>
      </c>
      <c r="F538">
        <v>29.6129736596646</v>
      </c>
      <c r="G538">
        <v>49.587283977790001</v>
      </c>
      <c r="H538">
        <v>27.9862563131726</v>
      </c>
      <c r="I538">
        <v>95.980692610640304</v>
      </c>
      <c r="J538">
        <v>61.288854029372601</v>
      </c>
      <c r="K538" t="s">
        <v>5</v>
      </c>
      <c r="L538">
        <v>8.65</v>
      </c>
      <c r="M538">
        <v>1</v>
      </c>
      <c r="N538">
        <f>LN(1+Table1[[#This Row],[Redness]])</f>
        <v>5.0580694775926238</v>
      </c>
      <c r="O538">
        <f>LN(1+Table1[[#This Row],[Greeness]])</f>
        <v>4.3470415159342872</v>
      </c>
      <c r="P538">
        <f>LN(1+Table1[[#This Row],[Blueness]])</f>
        <v>1.9853558326541181</v>
      </c>
      <c r="Q538">
        <f>LN(1+Table1[[#This Row],[L* lab]])</f>
        <v>3.7545133122388772</v>
      </c>
      <c r="R538">
        <f>LN(1+Table1[[#This Row],[a* lab]]+128)</f>
        <v>5.0664671069880329</v>
      </c>
      <c r="S538">
        <f>LN(1+Table1[[#This Row],[b* lab]]+128)</f>
        <v>5.1850774675750344</v>
      </c>
      <c r="T538">
        <f>LN(1+Table1[[#This Row],[Hue]])</f>
        <v>3.366821797415358</v>
      </c>
      <c r="U538">
        <f>LN(1+Table1[[#This Row],[Saturation]])</f>
        <v>4.5745119134401167</v>
      </c>
      <c r="V538">
        <f>LN(1+Table1[[#This Row],[Value]])</f>
        <v>4.1317825017517027</v>
      </c>
    </row>
    <row r="539" spans="1:22" x14ac:dyDescent="0.3">
      <c r="A539">
        <v>500</v>
      </c>
      <c r="B539">
        <v>156.20551110823399</v>
      </c>
      <c r="C539">
        <v>76.418471714142399</v>
      </c>
      <c r="D539">
        <v>4.46727835078838</v>
      </c>
      <c r="E539">
        <v>41.731629732004599</v>
      </c>
      <c r="F539">
        <v>29.457801611079301</v>
      </c>
      <c r="G539">
        <v>50.099624358755797</v>
      </c>
      <c r="H539">
        <v>28.450783453515399</v>
      </c>
      <c r="I539">
        <v>97.140127567142599</v>
      </c>
      <c r="J539">
        <v>61.257063179699898</v>
      </c>
      <c r="K539" t="s">
        <v>5</v>
      </c>
      <c r="L539">
        <v>8.65</v>
      </c>
      <c r="M539">
        <v>1</v>
      </c>
      <c r="N539">
        <f>LN(1+Table1[[#This Row],[Redness]])</f>
        <v>5.0575539373210106</v>
      </c>
      <c r="O539">
        <f>LN(1+Table1[[#This Row],[Greeness]])</f>
        <v>4.3492254047601691</v>
      </c>
      <c r="P539">
        <f>LN(1+Table1[[#This Row],[Blueness]])</f>
        <v>1.6987809333393382</v>
      </c>
      <c r="Q539">
        <f>LN(1+Table1[[#This Row],[L* lab]])</f>
        <v>3.7549393891580682</v>
      </c>
      <c r="R539">
        <f>LN(1+Table1[[#This Row],[a* lab]]+128)</f>
        <v>5.065488321978024</v>
      </c>
      <c r="S539">
        <f>LN(1+Table1[[#This Row],[b* lab]]+128)</f>
        <v>5.1879422116817517</v>
      </c>
      <c r="T539">
        <f>LN(1+Table1[[#This Row],[Hue]])</f>
        <v>3.3827205125795836</v>
      </c>
      <c r="U539">
        <f>LN(1+Table1[[#This Row],[Saturation]])</f>
        <v>4.5863963305095226</v>
      </c>
      <c r="V539">
        <f>LN(1+Table1[[#This Row],[Value]])</f>
        <v>4.1312719936423159</v>
      </c>
    </row>
    <row r="540" spans="1:22" x14ac:dyDescent="0.3">
      <c r="A540">
        <v>500</v>
      </c>
      <c r="B540">
        <v>157.239466663771</v>
      </c>
      <c r="C540">
        <v>77.427182598549706</v>
      </c>
      <c r="D540">
        <v>5.0557096986776502</v>
      </c>
      <c r="E540">
        <v>42.112963189010102</v>
      </c>
      <c r="F540">
        <v>29.361008627704798</v>
      </c>
      <c r="G540">
        <v>50.266555579733897</v>
      </c>
      <c r="H540">
        <v>28.533192113191799</v>
      </c>
      <c r="I540">
        <v>96.784706914906806</v>
      </c>
      <c r="J540">
        <v>61.662535946577002</v>
      </c>
      <c r="K540" t="s">
        <v>5</v>
      </c>
      <c r="L540">
        <v>8.65</v>
      </c>
      <c r="M540">
        <v>1</v>
      </c>
      <c r="N540">
        <f>LN(1+Table1[[#This Row],[Redness]])</f>
        <v>5.0641094974426037</v>
      </c>
      <c r="O540">
        <f>LN(1+Table1[[#This Row],[Greeness]])</f>
        <v>4.3621705840822118</v>
      </c>
      <c r="P540">
        <f>LN(1+Table1[[#This Row],[Blueness]])</f>
        <v>1.8010015788365124</v>
      </c>
      <c r="Q540">
        <f>LN(1+Table1[[#This Row],[L* lab]])</f>
        <v>3.7638237219340973</v>
      </c>
      <c r="R540">
        <f>LN(1+Table1[[#This Row],[a* lab]]+128)</f>
        <v>5.0648772914251783</v>
      </c>
      <c r="S540">
        <f>LN(1+Table1[[#This Row],[b* lab]]+128)</f>
        <v>5.1888738354922372</v>
      </c>
      <c r="T540">
        <f>LN(1+Table1[[#This Row],[Hue]])</f>
        <v>3.3855147872111253</v>
      </c>
      <c r="U540">
        <f>LN(1+Table1[[#This Row],[Saturation]])</f>
        <v>4.5827681938003275</v>
      </c>
      <c r="V540">
        <f>LN(1+Table1[[#This Row],[Value]])</f>
        <v>4.1377637562431895</v>
      </c>
    </row>
    <row r="541" spans="1:22" x14ac:dyDescent="0.3">
      <c r="A541">
        <v>500</v>
      </c>
      <c r="B541">
        <v>157.163377774884</v>
      </c>
      <c r="C541">
        <v>77.685315873868603</v>
      </c>
      <c r="D541">
        <v>4.4633673267238603</v>
      </c>
      <c r="E541">
        <v>42.155319609248302</v>
      </c>
      <c r="F541">
        <v>29.179192168203802</v>
      </c>
      <c r="G541">
        <v>50.457810283263001</v>
      </c>
      <c r="H541">
        <v>28.770901193357599</v>
      </c>
      <c r="I541">
        <v>97.160046195292907</v>
      </c>
      <c r="J541">
        <v>61.632697166621099</v>
      </c>
      <c r="K541" t="s">
        <v>5</v>
      </c>
      <c r="L541">
        <v>8.65</v>
      </c>
      <c r="M541">
        <v>1</v>
      </c>
      <c r="N541">
        <f>LN(1+Table1[[#This Row],[Redness]])</f>
        <v>5.063628535329328</v>
      </c>
      <c r="O541">
        <f>LN(1+Table1[[#This Row],[Greeness]])</f>
        <v>4.3654565544549957</v>
      </c>
      <c r="P541">
        <f>LN(1+Table1[[#This Row],[Blueness]])</f>
        <v>1.6980653261653782</v>
      </c>
      <c r="Q541">
        <f>LN(1+Table1[[#This Row],[L* lab]])</f>
        <v>3.7648056917210888</v>
      </c>
      <c r="R541">
        <f>LN(1+Table1[[#This Row],[a* lab]]+128)</f>
        <v>5.0637285180369087</v>
      </c>
      <c r="S541">
        <f>LN(1+Table1[[#This Row],[b* lab]]+128)</f>
        <v>5.1899401400973924</v>
      </c>
      <c r="T541">
        <f>LN(1+Table1[[#This Row],[Hue]])</f>
        <v>3.39353144643237</v>
      </c>
      <c r="U541">
        <f>LN(1+Table1[[#This Row],[Saturation]])</f>
        <v>4.5865992710147383</v>
      </c>
      <c r="V541">
        <f>LN(1+Table1[[#This Row],[Value]])</f>
        <v>4.1372874607005965</v>
      </c>
    </row>
    <row r="542" spans="1:22" x14ac:dyDescent="0.3">
      <c r="A542">
        <v>500</v>
      </c>
      <c r="B542">
        <v>157.17528888599401</v>
      </c>
      <c r="C542">
        <v>77.599627004238002</v>
      </c>
      <c r="D542">
        <v>3.9222238152510598</v>
      </c>
      <c r="E542">
        <v>42.136827488281199</v>
      </c>
      <c r="F542">
        <v>29.2217095699847</v>
      </c>
      <c r="G542">
        <v>50.594753490197299</v>
      </c>
      <c r="H542">
        <v>28.845388438388301</v>
      </c>
      <c r="I542">
        <v>97.504554409888101</v>
      </c>
      <c r="J542">
        <v>61.637368190586201</v>
      </c>
      <c r="K542" t="s">
        <v>5</v>
      </c>
      <c r="L542">
        <v>8.65</v>
      </c>
      <c r="M542">
        <v>1</v>
      </c>
      <c r="N542">
        <f>LN(1+Table1[[#This Row],[Redness]])</f>
        <v>5.0637038414007698</v>
      </c>
      <c r="O542">
        <f>LN(1+Table1[[#This Row],[Greeness]])</f>
        <v>4.3643669539307455</v>
      </c>
      <c r="P542">
        <f>LN(1+Table1[[#This Row],[Blueness]])</f>
        <v>1.5937604233549885</v>
      </c>
      <c r="Q542">
        <f>LN(1+Table1[[#This Row],[L* lab]])</f>
        <v>3.7643770983467859</v>
      </c>
      <c r="R542">
        <f>LN(1+Table1[[#This Row],[a* lab]]+128)</f>
        <v>5.0639972745531088</v>
      </c>
      <c r="S542">
        <f>LN(1+Table1[[#This Row],[b* lab]]+128)</f>
        <v>5.1907029432487493</v>
      </c>
      <c r="T542">
        <f>LN(1+Table1[[#This Row],[Hue]])</f>
        <v>3.3960303367273488</v>
      </c>
      <c r="U542">
        <f>LN(1+Table1[[#This Row],[Saturation]])</f>
        <v>4.5901027847729541</v>
      </c>
      <c r="V542">
        <f>LN(1+Table1[[#This Row],[Value]])</f>
        <v>4.1373620359625143</v>
      </c>
    </row>
    <row r="543" spans="1:22" x14ac:dyDescent="0.3">
      <c r="A543">
        <v>500</v>
      </c>
      <c r="B543">
        <v>157.05759999710801</v>
      </c>
      <c r="C543">
        <v>77.900604714372193</v>
      </c>
      <c r="D543">
        <v>3.72133939739158</v>
      </c>
      <c r="E543">
        <v>42.1831678664294</v>
      </c>
      <c r="F543">
        <v>29.005496075421899</v>
      </c>
      <c r="G543">
        <v>50.678734828071697</v>
      </c>
      <c r="H543">
        <v>29.026114903359399</v>
      </c>
      <c r="I543">
        <v>97.630589415946702</v>
      </c>
      <c r="J543">
        <v>61.591215685140398</v>
      </c>
      <c r="K543" t="s">
        <v>5</v>
      </c>
      <c r="L543">
        <v>8.65</v>
      </c>
      <c r="M543">
        <v>1</v>
      </c>
      <c r="N543">
        <f>LN(1+Table1[[#This Row],[Redness]])</f>
        <v>5.0629595235359517</v>
      </c>
      <c r="O543">
        <f>LN(1+Table1[[#This Row],[Greeness]])</f>
        <v>4.3681888921364269</v>
      </c>
      <c r="P543">
        <f>LN(1+Table1[[#This Row],[Blueness]])</f>
        <v>1.5520925299760022</v>
      </c>
      <c r="Q543">
        <f>LN(1+Table1[[#This Row],[L* lab]])</f>
        <v>3.7654507866019711</v>
      </c>
      <c r="R543">
        <f>LN(1+Table1[[#This Row],[a* lab]]+128)</f>
        <v>5.0626298177094533</v>
      </c>
      <c r="S543">
        <f>LN(1+Table1[[#This Row],[b* lab]]+128)</f>
        <v>5.1911704497146296</v>
      </c>
      <c r="T543">
        <f>LN(1+Table1[[#This Row],[Hue]])</f>
        <v>3.402067499778215</v>
      </c>
      <c r="U543">
        <f>LN(1+Table1[[#This Row],[Saturation]])</f>
        <v>4.5913814509791386</v>
      </c>
      <c r="V543">
        <f>LN(1+Table1[[#This Row],[Value]])</f>
        <v>4.1366249437411229</v>
      </c>
    </row>
    <row r="544" spans="1:22" x14ac:dyDescent="0.3">
      <c r="A544">
        <v>500</v>
      </c>
      <c r="B544">
        <v>158.72053333041001</v>
      </c>
      <c r="C544">
        <v>79.551804343271698</v>
      </c>
      <c r="D544">
        <v>4.1766181532660296</v>
      </c>
      <c r="E544">
        <v>42.801912757810101</v>
      </c>
      <c r="F544">
        <v>28.825798059443802</v>
      </c>
      <c r="G544">
        <v>51.071033383313697</v>
      </c>
      <c r="H544">
        <v>29.2635990631947</v>
      </c>
      <c r="I544">
        <v>97.368570993538995</v>
      </c>
      <c r="J544">
        <v>62.243346404082601</v>
      </c>
      <c r="K544" t="s">
        <v>5</v>
      </c>
      <c r="L544">
        <v>8.65</v>
      </c>
      <c r="M544">
        <v>1</v>
      </c>
      <c r="N544">
        <f>LN(1+Table1[[#This Row],[Redness]])</f>
        <v>5.0734256213480355</v>
      </c>
      <c r="O544">
        <f>LN(1+Table1[[#This Row],[Greeness]])</f>
        <v>4.3889005096610108</v>
      </c>
      <c r="P544">
        <f>LN(1+Table1[[#This Row],[Blueness]])</f>
        <v>1.6441519768966144</v>
      </c>
      <c r="Q544">
        <f>LN(1+Table1[[#This Row],[L* lab]])</f>
        <v>3.7796774866985188</v>
      </c>
      <c r="R544">
        <f>LN(1+Table1[[#This Row],[a* lab]]+128)</f>
        <v>5.0614918808507179</v>
      </c>
      <c r="S544">
        <f>LN(1+Table1[[#This Row],[b* lab]]+128)</f>
        <v>5.1933514029516061</v>
      </c>
      <c r="T544">
        <f>LN(1+Table1[[#This Row],[Hue]])</f>
        <v>3.4099456392650023</v>
      </c>
      <c r="U544">
        <f>LN(1+Table1[[#This Row],[Saturation]])</f>
        <v>4.5887213525668482</v>
      </c>
      <c r="V544">
        <f>LN(1+Table1[[#This Row],[Value]])</f>
        <v>4.1469899268818571</v>
      </c>
    </row>
    <row r="545" spans="1:23" x14ac:dyDescent="0.3">
      <c r="A545">
        <v>500</v>
      </c>
      <c r="B545">
        <v>178.0848833</v>
      </c>
      <c r="C545">
        <v>91.667084950000003</v>
      </c>
      <c r="D545">
        <v>8.2337667430000003</v>
      </c>
      <c r="E545">
        <v>48.378345320000001</v>
      </c>
      <c r="F545">
        <v>30.55628158</v>
      </c>
      <c r="G545">
        <v>55.170772149999998</v>
      </c>
      <c r="H545">
        <v>29.472865370000001</v>
      </c>
      <c r="I545">
        <v>95.376493170000003</v>
      </c>
      <c r="J545">
        <v>69.837209150000007</v>
      </c>
      <c r="K545" t="s">
        <v>5</v>
      </c>
      <c r="L545">
        <v>8.65</v>
      </c>
      <c r="M545">
        <v>0</v>
      </c>
      <c r="N545">
        <f>LN(1+Table1[[#This Row],[Redness]])</f>
        <v>5.1878599018193823</v>
      </c>
      <c r="O545">
        <f>LN(1+Table1[[#This Row],[Greeness]])</f>
        <v>4.5290133388612608</v>
      </c>
      <c r="P545">
        <f>LN(1+Table1[[#This Row],[Blueness]])</f>
        <v>2.2228670630986413</v>
      </c>
      <c r="Q545">
        <f>LN(1+Table1[[#This Row],[L* lab]])</f>
        <v>3.8995119742425892</v>
      </c>
      <c r="R545">
        <f>LN(1+Table1[[#This Row],[a* lab]]+128)</f>
        <v>5.0723967225540765</v>
      </c>
      <c r="S545">
        <f>LN(1+Table1[[#This Row],[b* lab]]+128)</f>
        <v>5.2158634366925254</v>
      </c>
      <c r="T545">
        <f>LN(1+Table1[[#This Row],[Hue]])</f>
        <v>3.4168366276310311</v>
      </c>
      <c r="U545">
        <f>LN(1+Table1[[#This Row],[Saturation]])</f>
        <v>4.5682623250968062</v>
      </c>
      <c r="V545">
        <f>LN(1+Table1[[#This Row],[Value]])</f>
        <v>4.2603844156111839</v>
      </c>
      <c r="W545" t="s">
        <v>26</v>
      </c>
    </row>
    <row r="546" spans="1:23" x14ac:dyDescent="0.3">
      <c r="A546">
        <v>500</v>
      </c>
      <c r="B546">
        <v>158.56675555263499</v>
      </c>
      <c r="C546">
        <v>79.566737673248795</v>
      </c>
      <c r="D546">
        <v>2.98020033716488</v>
      </c>
      <c r="E546">
        <v>42.777320898875097</v>
      </c>
      <c r="F546">
        <v>28.733055176902798</v>
      </c>
      <c r="G546">
        <v>51.378879040014702</v>
      </c>
      <c r="H546">
        <v>29.5346357775013</v>
      </c>
      <c r="I546">
        <v>98.120538995214702</v>
      </c>
      <c r="J546">
        <v>62.1830413931905</v>
      </c>
      <c r="K546" t="s">
        <v>5</v>
      </c>
      <c r="L546">
        <v>8.65</v>
      </c>
      <c r="M546">
        <v>1</v>
      </c>
      <c r="N546">
        <f>LN(1+Table1[[#This Row],[Redness]])</f>
        <v>5.0724623647761664</v>
      </c>
      <c r="O546">
        <f>LN(1+Table1[[#This Row],[Greeness]])</f>
        <v>4.3890858803803949</v>
      </c>
      <c r="P546">
        <f>LN(1+Table1[[#This Row],[Blueness]])</f>
        <v>1.3813321540006092</v>
      </c>
      <c r="Q546">
        <f>LN(1+Table1[[#This Row],[L* lab]])</f>
        <v>3.7791158955871436</v>
      </c>
      <c r="R546">
        <f>LN(1+Table1[[#This Row],[a* lab]]+128)</f>
        <v>5.0609040799745255</v>
      </c>
      <c r="S546">
        <f>LN(1+Table1[[#This Row],[b* lab]]+128)</f>
        <v>5.1950595222821434</v>
      </c>
      <c r="T546">
        <f>LN(1+Table1[[#This Row],[Hue]])</f>
        <v>3.418861638570597</v>
      </c>
      <c r="U546">
        <f>LN(1+Table1[[#This Row],[Saturation]])</f>
        <v>4.5963366751109316</v>
      </c>
      <c r="V546">
        <f>LN(1+Table1[[#This Row],[Value]])</f>
        <v>4.1460359327590091</v>
      </c>
    </row>
    <row r="547" spans="1:23" x14ac:dyDescent="0.3">
      <c r="A547">
        <v>500</v>
      </c>
      <c r="B547">
        <v>174.1871611</v>
      </c>
      <c r="C547">
        <v>89.049185539999996</v>
      </c>
      <c r="D547">
        <v>5.9728087319999998</v>
      </c>
      <c r="E547">
        <v>47.221345049999996</v>
      </c>
      <c r="F547">
        <v>30.28356398</v>
      </c>
      <c r="G547">
        <v>54.678445459999999</v>
      </c>
      <c r="H547">
        <v>29.63232648</v>
      </c>
      <c r="I547">
        <v>96.571039630000001</v>
      </c>
      <c r="J547">
        <v>68.308690630000001</v>
      </c>
      <c r="K547" t="s">
        <v>5</v>
      </c>
      <c r="L547">
        <v>8.65</v>
      </c>
      <c r="M547">
        <v>0</v>
      </c>
      <c r="N547">
        <f>LN(1+Table1[[#This Row],[Redness]])</f>
        <v>5.1658548944243847</v>
      </c>
      <c r="O547">
        <f>LN(1+Table1[[#This Row],[Greeness]])</f>
        <v>4.5003560270502465</v>
      </c>
      <c r="P547">
        <f>LN(1+Table1[[#This Row],[Blueness]])</f>
        <v>1.9420181180620102</v>
      </c>
      <c r="Q547">
        <f>LN(1+Table1[[#This Row],[L* lab]])</f>
        <v>3.8758017663913682</v>
      </c>
      <c r="R547">
        <f>LN(1+Table1[[#This Row],[a* lab]]+128)</f>
        <v>5.0706860350706542</v>
      </c>
      <c r="S547">
        <f>LN(1+Table1[[#This Row],[b* lab]]+128)</f>
        <v>5.2131866497896384</v>
      </c>
      <c r="T547">
        <f>LN(1+Table1[[#This Row],[Hue]])</f>
        <v>3.4220558722534791</v>
      </c>
      <c r="U547">
        <f>LN(1+Table1[[#This Row],[Saturation]])</f>
        <v>4.5805807242849843</v>
      </c>
      <c r="V547">
        <f>LN(1+Table1[[#This Row],[Value]])</f>
        <v>4.2385703042494987</v>
      </c>
      <c r="W547" t="s">
        <v>26</v>
      </c>
    </row>
    <row r="548" spans="1:23" x14ac:dyDescent="0.3">
      <c r="A548">
        <v>500</v>
      </c>
      <c r="B548">
        <v>175.88402780000001</v>
      </c>
      <c r="C548">
        <v>90.971785109999999</v>
      </c>
      <c r="D548">
        <v>7.2594828720000004</v>
      </c>
      <c r="E548">
        <v>47.895462639999998</v>
      </c>
      <c r="F548">
        <v>29.984402070000002</v>
      </c>
      <c r="G548">
        <v>54.954381290000001</v>
      </c>
      <c r="H548">
        <v>29.78651855</v>
      </c>
      <c r="I548">
        <v>95.872574130000004</v>
      </c>
      <c r="J548">
        <v>68.974128539999995</v>
      </c>
      <c r="K548" t="s">
        <v>5</v>
      </c>
      <c r="L548">
        <v>8.65</v>
      </c>
      <c r="M548">
        <v>0</v>
      </c>
      <c r="N548">
        <f>LN(1+Table1[[#This Row],[Redness]])</f>
        <v>5.1754943076603475</v>
      </c>
      <c r="O548">
        <f>LN(1+Table1[[#This Row],[Greeness]])</f>
        <v>4.521481846425055</v>
      </c>
      <c r="P548">
        <f>LN(1+Table1[[#This Row],[Blueness]])</f>
        <v>2.111361979277631</v>
      </c>
      <c r="Q548">
        <f>LN(1+Table1[[#This Row],[L* lab]])</f>
        <v>3.8896846036276456</v>
      </c>
      <c r="R548">
        <f>LN(1+Table1[[#This Row],[a* lab]]+128)</f>
        <v>5.0688060972194142</v>
      </c>
      <c r="S548">
        <f>LN(1+Table1[[#This Row],[b* lab]]+128)</f>
        <v>5.2146877990980753</v>
      </c>
      <c r="T548">
        <f>LN(1+Table1[[#This Row],[Hue]])</f>
        <v>3.4270768847412154</v>
      </c>
      <c r="U548">
        <f>LN(1+Table1[[#This Row],[Saturation]])</f>
        <v>4.5733964461212642</v>
      </c>
      <c r="V548">
        <f>LN(1+Table1[[#This Row],[Value]])</f>
        <v>4.2481255814475825</v>
      </c>
      <c r="W548" t="s">
        <v>26</v>
      </c>
    </row>
    <row r="549" spans="1:23" x14ac:dyDescent="0.3">
      <c r="A549">
        <v>500</v>
      </c>
      <c r="B549">
        <v>148.15366110838301</v>
      </c>
      <c r="C549">
        <v>78.153643546391606</v>
      </c>
      <c r="D549">
        <v>8.1534796413502892</v>
      </c>
      <c r="E549">
        <v>40.896226412519503</v>
      </c>
      <c r="F549">
        <v>25.085626589075101</v>
      </c>
      <c r="G549">
        <v>47.933390640870201</v>
      </c>
      <c r="H549">
        <v>30.000031359184302</v>
      </c>
      <c r="I549">
        <v>94.496606037034994</v>
      </c>
      <c r="J549">
        <v>58.099474944463999</v>
      </c>
      <c r="K549" t="s">
        <v>5</v>
      </c>
      <c r="L549">
        <v>8.65</v>
      </c>
      <c r="M549">
        <v>1</v>
      </c>
      <c r="N549">
        <f>LN(1+Table1[[#This Row],[Redness]])</f>
        <v>5.0049770571454717</v>
      </c>
      <c r="O549">
        <f>LN(1+Table1[[#This Row],[Greeness]])</f>
        <v>4.3713908187026584</v>
      </c>
      <c r="P549">
        <f>LN(1+Table1[[#This Row],[Blueness]])</f>
        <v>2.2141340956681828</v>
      </c>
      <c r="Q549">
        <f>LN(1+Table1[[#This Row],[L* lab]])</f>
        <v>3.7351957611185775</v>
      </c>
      <c r="R549">
        <f>LN(1+Table1[[#This Row],[a* lab]]+128)</f>
        <v>5.0375084647057315</v>
      </c>
      <c r="S549">
        <f>LN(1+Table1[[#This Row],[b* lab]]+128)</f>
        <v>5.1757733376832791</v>
      </c>
      <c r="T549">
        <f>LN(1+Table1[[#This Row],[Hue]])</f>
        <v>3.4339882160712252</v>
      </c>
      <c r="U549">
        <f>LN(1+Table1[[#This Row],[Saturation]])</f>
        <v>4.5590907079759493</v>
      </c>
      <c r="V549">
        <f>LN(1+Table1[[#This Row],[Value]])</f>
        <v>4.0792220401841615</v>
      </c>
    </row>
    <row r="550" spans="1:23" x14ac:dyDescent="0.3">
      <c r="A550">
        <v>500</v>
      </c>
      <c r="B550">
        <v>148.30879999726901</v>
      </c>
      <c r="C550">
        <v>78.308782400413705</v>
      </c>
      <c r="D550">
        <v>8.3086150774323109</v>
      </c>
      <c r="E550">
        <v>40.955813222387597</v>
      </c>
      <c r="F550">
        <v>25.069763406710901</v>
      </c>
      <c r="G550">
        <v>47.939291783705997</v>
      </c>
      <c r="H550">
        <v>30.000032084127401</v>
      </c>
      <c r="I550">
        <v>94.397759891803204</v>
      </c>
      <c r="J550">
        <v>58.160313724419296</v>
      </c>
      <c r="K550" t="s">
        <v>5</v>
      </c>
      <c r="L550">
        <v>8.65</v>
      </c>
      <c r="M550">
        <v>1</v>
      </c>
      <c r="N550">
        <f>LN(1+Table1[[#This Row],[Redness]])</f>
        <v>5.0060166445179224</v>
      </c>
      <c r="O550">
        <f>LN(1+Table1[[#This Row],[Greeness]])</f>
        <v>4.3733488715680195</v>
      </c>
      <c r="P550">
        <f>LN(1+Table1[[#This Row],[Blueness]])</f>
        <v>2.2309403237716836</v>
      </c>
      <c r="Q550">
        <f>LN(1+Table1[[#This Row],[L* lab]])</f>
        <v>3.7366169983397008</v>
      </c>
      <c r="R550">
        <f>LN(1+Table1[[#This Row],[a* lab]]+128)</f>
        <v>5.0374055089704557</v>
      </c>
      <c r="S550">
        <f>LN(1+Table1[[#This Row],[b* lab]]+128)</f>
        <v>5.1758066894684234</v>
      </c>
      <c r="T550">
        <f>LN(1+Table1[[#This Row],[Hue]])</f>
        <v>3.4339882394564625</v>
      </c>
      <c r="U550">
        <f>LN(1+Table1[[#This Row],[Saturation]])</f>
        <v>4.5580550969605573</v>
      </c>
      <c r="V550">
        <f>LN(1+Table1[[#This Row],[Value]])</f>
        <v>4.0802509408106085</v>
      </c>
    </row>
    <row r="551" spans="1:23" x14ac:dyDescent="0.3">
      <c r="A551">
        <v>500</v>
      </c>
      <c r="B551">
        <v>149.731555552798</v>
      </c>
      <c r="C551">
        <v>79.731537636210703</v>
      </c>
      <c r="D551">
        <v>9.6563184153019694</v>
      </c>
      <c r="E551">
        <v>41.4994257353395</v>
      </c>
      <c r="F551">
        <v>24.9237380831424</v>
      </c>
      <c r="G551">
        <v>48.050960270559798</v>
      </c>
      <c r="H551">
        <v>30.0161059097648</v>
      </c>
      <c r="I551">
        <v>93.550912912344003</v>
      </c>
      <c r="J551">
        <v>58.718257079528797</v>
      </c>
      <c r="K551" t="s">
        <v>5</v>
      </c>
      <c r="L551">
        <v>8.65</v>
      </c>
      <c r="M551">
        <v>1</v>
      </c>
      <c r="N551">
        <f>LN(1+Table1[[#This Row],[Redness]])</f>
        <v>5.0155004768965528</v>
      </c>
      <c r="O551">
        <f>LN(1+Table1[[#This Row],[Greeness]])</f>
        <v>4.3911292998774742</v>
      </c>
      <c r="P551">
        <f>LN(1+Table1[[#This Row],[Blueness]])</f>
        <v>2.3661529946674711</v>
      </c>
      <c r="Q551">
        <f>LN(1+Table1[[#This Row],[L* lab]])</f>
        <v>3.7494905637294229</v>
      </c>
      <c r="R551">
        <f>LN(1+Table1[[#This Row],[a* lab]]+128)</f>
        <v>5.0364572725057011</v>
      </c>
      <c r="S551">
        <f>LN(1+Table1[[#This Row],[b* lab]]+128)</f>
        <v>5.1764376022684786</v>
      </c>
      <c r="T551">
        <f>LN(1+Table1[[#This Row],[Hue]])</f>
        <v>3.4345066150444077</v>
      </c>
      <c r="U551">
        <f>LN(1+Table1[[#This Row],[Saturation]])</f>
        <v>4.5491384503972938</v>
      </c>
      <c r="V551">
        <f>LN(1+Table1[[#This Row],[Value]])</f>
        <v>4.08963778737452</v>
      </c>
    </row>
    <row r="552" spans="1:23" x14ac:dyDescent="0.3">
      <c r="A552">
        <v>500</v>
      </c>
      <c r="B552">
        <v>149.77224444168601</v>
      </c>
      <c r="C552">
        <v>79.772226515954898</v>
      </c>
      <c r="D552">
        <v>9.5309656496885502</v>
      </c>
      <c r="E552">
        <v>41.514762934829101</v>
      </c>
      <c r="F552">
        <v>24.916198807488701</v>
      </c>
      <c r="G552">
        <v>48.098092814934603</v>
      </c>
      <c r="H552">
        <v>30.051605977058799</v>
      </c>
      <c r="I552">
        <v>93.636360538484496</v>
      </c>
      <c r="J552">
        <v>58.734213506543803</v>
      </c>
      <c r="K552" t="s">
        <v>5</v>
      </c>
      <c r="L552">
        <v>8.65</v>
      </c>
      <c r="M552">
        <v>1</v>
      </c>
      <c r="N552">
        <f>LN(1+Table1[[#This Row],[Redness]])</f>
        <v>5.0157703832070917</v>
      </c>
      <c r="O552">
        <f>LN(1+Table1[[#This Row],[Greeness]])</f>
        <v>4.3916331751997451</v>
      </c>
      <c r="P552">
        <f>LN(1+Table1[[#This Row],[Blueness]])</f>
        <v>2.3543200265650661</v>
      </c>
      <c r="Q552">
        <f>LN(1+Table1[[#This Row],[L* lab]])</f>
        <v>3.7498513787862011</v>
      </c>
      <c r="R552">
        <f>LN(1+Table1[[#This Row],[a* lab]]+128)</f>
        <v>5.0364082907151548</v>
      </c>
      <c r="S552">
        <f>LN(1+Table1[[#This Row],[b* lab]]+128)</f>
        <v>5.1767037757581011</v>
      </c>
      <c r="T552">
        <f>LN(1+Table1[[#This Row],[Hue]])</f>
        <v>3.4356505293304647</v>
      </c>
      <c r="U552">
        <f>LN(1+Table1[[#This Row],[Saturation]])</f>
        <v>4.550041763082044</v>
      </c>
      <c r="V552">
        <f>LN(1+Table1[[#This Row],[Value]])</f>
        <v>4.0899049468067465</v>
      </c>
    </row>
    <row r="553" spans="1:23" x14ac:dyDescent="0.3">
      <c r="A553">
        <v>500</v>
      </c>
      <c r="B553">
        <v>148.482177775043</v>
      </c>
      <c r="C553">
        <v>78.482160139225499</v>
      </c>
      <c r="D553">
        <v>8.11790821083164</v>
      </c>
      <c r="E553">
        <v>41.021040407838399</v>
      </c>
      <c r="F553">
        <v>25.045866899484199</v>
      </c>
      <c r="G553">
        <v>48.0453511171239</v>
      </c>
      <c r="H553">
        <v>30.077847651764898</v>
      </c>
      <c r="I553">
        <v>94.532738990984697</v>
      </c>
      <c r="J553">
        <v>58.228305009821099</v>
      </c>
      <c r="K553" t="s">
        <v>5</v>
      </c>
      <c r="L553">
        <v>8.65</v>
      </c>
      <c r="M553">
        <v>1</v>
      </c>
      <c r="N553">
        <f>LN(1+Table1[[#This Row],[Redness]])</f>
        <v>5.0071771735173307</v>
      </c>
      <c r="O553">
        <f>LN(1+Table1[[#This Row],[Greeness]])</f>
        <v>4.3755325957142084</v>
      </c>
      <c r="P553">
        <f>LN(1+Table1[[#This Row],[Blueness]])</f>
        <v>2.2102404149311514</v>
      </c>
      <c r="Q553">
        <f>LN(1+Table1[[#This Row],[L* lab]])</f>
        <v>3.7381704549351422</v>
      </c>
      <c r="R553">
        <f>LN(1+Table1[[#This Row],[a* lab]]+128)</f>
        <v>5.0372503950786296</v>
      </c>
      <c r="S553">
        <f>LN(1+Table1[[#This Row],[b* lab]]+128)</f>
        <v>5.1764059207555349</v>
      </c>
      <c r="T553">
        <f>LN(1+Table1[[#This Row],[Hue]])</f>
        <v>3.4364952712277086</v>
      </c>
      <c r="U553">
        <f>LN(1+Table1[[#This Row],[Saturation]])</f>
        <v>4.5594690053980056</v>
      </c>
      <c r="V553">
        <f>LN(1+Table1[[#This Row],[Value]])</f>
        <v>4.0813995527904403</v>
      </c>
    </row>
    <row r="554" spans="1:23" x14ac:dyDescent="0.3">
      <c r="A554">
        <v>600</v>
      </c>
      <c r="B554">
        <v>177.26432779999999</v>
      </c>
      <c r="C554">
        <v>89.377641019999999</v>
      </c>
      <c r="D554">
        <v>20.210811280000001</v>
      </c>
      <c r="E554">
        <v>47.804793480000001</v>
      </c>
      <c r="F554">
        <v>31.634763289999999</v>
      </c>
      <c r="G554">
        <v>51.450566070000001</v>
      </c>
      <c r="H554">
        <v>26.424176150000001</v>
      </c>
      <c r="I554">
        <v>88.598489310000005</v>
      </c>
      <c r="J554">
        <v>69.515422659999999</v>
      </c>
      <c r="K554" t="s">
        <v>5</v>
      </c>
      <c r="L554" s="3">
        <v>10.38</v>
      </c>
      <c r="M554">
        <v>1</v>
      </c>
      <c r="N554">
        <f>LN(1+Table1[[#This Row],[Redness]])</f>
        <v>5.183267436428733</v>
      </c>
      <c r="O554">
        <f>LN(1+Table1[[#This Row],[Greeness]])</f>
        <v>4.5039969029565121</v>
      </c>
      <c r="P554">
        <f>LN(1+Table1[[#This Row],[Blueness]])</f>
        <v>3.0545110177272141</v>
      </c>
      <c r="Q554">
        <f>LN(1+Table1[[#This Row],[L* lab]])</f>
        <v>3.8878285350843211</v>
      </c>
      <c r="R554">
        <f>LN(1+Table1[[#This Row],[a* lab]]+128)</f>
        <v>5.0791332369306694</v>
      </c>
      <c r="S554">
        <f>LN(1+Table1[[#This Row],[b* lab]]+128)</f>
        <v>5.1954568680747331</v>
      </c>
      <c r="T554">
        <f>LN(1+Table1[[#This Row],[Hue]])</f>
        <v>3.3114249656006916</v>
      </c>
      <c r="U554">
        <f>LN(1+Table1[[#This Row],[Saturation]])</f>
        <v>4.4953384594592825</v>
      </c>
      <c r="V554">
        <f>LN(1+Table1[[#This Row],[Value]])</f>
        <v>4.255831447028247</v>
      </c>
      <c r="W554" t="s">
        <v>26</v>
      </c>
    </row>
    <row r="555" spans="1:23" x14ac:dyDescent="0.3">
      <c r="A555">
        <v>600</v>
      </c>
      <c r="B555">
        <v>171.7796444</v>
      </c>
      <c r="C555">
        <v>84.552469889999998</v>
      </c>
      <c r="D555">
        <v>15.471788979999999</v>
      </c>
      <c r="E555">
        <v>45.921428740000003</v>
      </c>
      <c r="F555">
        <v>31.82610661</v>
      </c>
      <c r="G555">
        <v>51.1121281</v>
      </c>
      <c r="H555">
        <v>26.51716283</v>
      </c>
      <c r="I555">
        <v>90.993234950000002</v>
      </c>
      <c r="J555">
        <v>67.364566449999998</v>
      </c>
      <c r="K555" t="s">
        <v>5</v>
      </c>
      <c r="L555" s="3">
        <v>10.38</v>
      </c>
      <c r="M555">
        <v>1</v>
      </c>
      <c r="N555">
        <f>LN(1+Table1[[#This Row],[Redness]])</f>
        <v>5.1520170508200431</v>
      </c>
      <c r="O555">
        <f>LN(1+Table1[[#This Row],[Greeness]])</f>
        <v>4.4491298706403288</v>
      </c>
      <c r="P555">
        <f>LN(1+Table1[[#This Row],[Blueness]])</f>
        <v>2.8016491588129289</v>
      </c>
      <c r="Q555">
        <f>LN(1+Table1[[#This Row],[L* lab]])</f>
        <v>3.8484744738758008</v>
      </c>
      <c r="R555">
        <f>LN(1+Table1[[#This Row],[a* lab]]+128)</f>
        <v>5.0803236981065947</v>
      </c>
      <c r="S555">
        <f>LN(1+Table1[[#This Row],[b* lab]]+128)</f>
        <v>5.1935795908363227</v>
      </c>
      <c r="T555">
        <f>LN(1+Table1[[#This Row],[Hue]])</f>
        <v>3.3148099129103885</v>
      </c>
      <c r="U555">
        <f>LN(1+Table1[[#This Row],[Saturation]])</f>
        <v>4.5217150411931719</v>
      </c>
      <c r="V555">
        <f>LN(1+Table1[[#This Row],[Value]])</f>
        <v>4.2248546560456246</v>
      </c>
      <c r="W555" t="s">
        <v>26</v>
      </c>
    </row>
    <row r="556" spans="1:23" x14ac:dyDescent="0.3">
      <c r="A556">
        <v>600</v>
      </c>
      <c r="B556">
        <v>180.03946669999999</v>
      </c>
      <c r="C556">
        <v>90.489846330000006</v>
      </c>
      <c r="D556">
        <v>19.556720290000001</v>
      </c>
      <c r="E556">
        <v>48.454854390000001</v>
      </c>
      <c r="F556">
        <v>32.186245640000003</v>
      </c>
      <c r="G556">
        <v>52.347549280000003</v>
      </c>
      <c r="H556">
        <v>26.519907329999999</v>
      </c>
      <c r="I556">
        <v>89.137537089999995</v>
      </c>
      <c r="J556">
        <v>70.603712419999994</v>
      </c>
      <c r="K556" t="s">
        <v>5</v>
      </c>
      <c r="L556" s="3">
        <v>10.38</v>
      </c>
      <c r="M556">
        <v>1</v>
      </c>
      <c r="N556">
        <f>LN(1+Table1[[#This Row],[Redness]])</f>
        <v>5.1987150555630999</v>
      </c>
      <c r="O556">
        <f>LN(1+Table1[[#This Row],[Greeness]])</f>
        <v>4.5162279970529147</v>
      </c>
      <c r="P556">
        <f>LN(1+Table1[[#This Row],[Blueness]])</f>
        <v>3.0231879088935889</v>
      </c>
      <c r="Q556">
        <f>LN(1+Table1[[#This Row],[L* lab]])</f>
        <v>3.9010602208946783</v>
      </c>
      <c r="R556">
        <f>LN(1+Table1[[#This Row],[a* lab]]+128)</f>
        <v>5.0825605016182633</v>
      </c>
      <c r="S556">
        <f>LN(1+Table1[[#This Row],[b* lab]]+128)</f>
        <v>5.2004153518796734</v>
      </c>
      <c r="T556">
        <f>LN(1+Table1[[#This Row],[Hue]])</f>
        <v>3.3149096456902871</v>
      </c>
      <c r="U556">
        <f>LN(1+Table1[[#This Row],[Saturation]])</f>
        <v>4.5013366937252508</v>
      </c>
      <c r="V556">
        <f>LN(1+Table1[[#This Row],[Value]])</f>
        <v>4.2711469220638048</v>
      </c>
      <c r="W556" t="s">
        <v>26</v>
      </c>
    </row>
    <row r="557" spans="1:23" x14ac:dyDescent="0.3">
      <c r="A557">
        <v>600</v>
      </c>
      <c r="B557">
        <v>175.54575</v>
      </c>
      <c r="C557">
        <v>89.221729949999997</v>
      </c>
      <c r="D557">
        <v>16.79550674</v>
      </c>
      <c r="E557">
        <v>47.49779874</v>
      </c>
      <c r="F557">
        <v>30.934269799999999</v>
      </c>
      <c r="G557">
        <v>52.168147140000002</v>
      </c>
      <c r="H557">
        <v>27.373648719999998</v>
      </c>
      <c r="I557">
        <v>90.4324048</v>
      </c>
      <c r="J557">
        <v>68.84147059</v>
      </c>
      <c r="K557" t="s">
        <v>5</v>
      </c>
      <c r="L557" s="3">
        <v>10.38</v>
      </c>
      <c r="M557">
        <v>1</v>
      </c>
      <c r="N557">
        <f>LN(1+Table1[[#This Row],[Redness]])</f>
        <v>5.1735800495839399</v>
      </c>
      <c r="O557">
        <f>LN(1+Table1[[#This Row],[Greeness]])</f>
        <v>4.5022703065913614</v>
      </c>
      <c r="P557">
        <f>LN(1+Table1[[#This Row],[Blueness]])</f>
        <v>2.8789459950950604</v>
      </c>
      <c r="Q557">
        <f>LN(1+Table1[[#This Row],[L* lab]])</f>
        <v>3.8815184101093014</v>
      </c>
      <c r="R557">
        <f>LN(1+Table1[[#This Row],[a* lab]]+128)</f>
        <v>5.0747629170767405</v>
      </c>
      <c r="S557">
        <f>LN(1+Table1[[#This Row],[b* lab]]+128)</f>
        <v>5.1994255897456894</v>
      </c>
      <c r="T557">
        <f>LN(1+Table1[[#This Row],[Hue]])</f>
        <v>3.3454608524649503</v>
      </c>
      <c r="U557">
        <f>LN(1+Table1[[#This Row],[Saturation]])</f>
        <v>4.5155999539194713</v>
      </c>
      <c r="V557">
        <f>LN(1+Table1[[#This Row],[Value]])</f>
        <v>4.2462279678675072</v>
      </c>
      <c r="W557" t="s">
        <v>26</v>
      </c>
    </row>
    <row r="558" spans="1:23" x14ac:dyDescent="0.3">
      <c r="A558">
        <v>600</v>
      </c>
      <c r="B558">
        <v>155.26257777491799</v>
      </c>
      <c r="C558">
        <v>74.801583188642695</v>
      </c>
      <c r="D558">
        <v>7.2401944125336604</v>
      </c>
      <c r="E558">
        <v>41.244420659116301</v>
      </c>
      <c r="F558">
        <v>29.976061981274398</v>
      </c>
      <c r="G558">
        <v>48.920889953724803</v>
      </c>
      <c r="H558">
        <v>27.385610435973</v>
      </c>
      <c r="I558">
        <v>95.336806514297507</v>
      </c>
      <c r="J558">
        <v>60.887285401928999</v>
      </c>
      <c r="K558" t="s">
        <v>5</v>
      </c>
      <c r="L558">
        <v>10.38</v>
      </c>
      <c r="M558">
        <v>1</v>
      </c>
      <c r="N558">
        <f>LN(1+Table1[[#This Row],[Redness]])</f>
        <v>5.0515377831362152</v>
      </c>
      <c r="O558">
        <f>LN(1+Table1[[#This Row],[Greeness]])</f>
        <v>4.3281191788239113</v>
      </c>
      <c r="P558">
        <f>LN(1+Table1[[#This Row],[Blueness]])</f>
        <v>2.1090239373971373</v>
      </c>
      <c r="Q558">
        <f>LN(1+Table1[[#This Row],[L* lab]])</f>
        <v>3.7434722896775687</v>
      </c>
      <c r="R558">
        <f>LN(1+Table1[[#This Row],[a* lab]]+128)</f>
        <v>5.0687536373090136</v>
      </c>
      <c r="S558">
        <f>LN(1+Table1[[#This Row],[b* lab]]+128)</f>
        <v>5.1813390130378192</v>
      </c>
      <c r="T558">
        <f>LN(1+Table1[[#This Row],[Hue]])</f>
        <v>3.3458823419744319</v>
      </c>
      <c r="U558">
        <f>LN(1+Table1[[#This Row],[Saturation]])</f>
        <v>4.5678504525760353</v>
      </c>
      <c r="V558">
        <f>LN(1+Table1[[#This Row],[Value]])</f>
        <v>4.1253147531303922</v>
      </c>
    </row>
    <row r="559" spans="1:23" x14ac:dyDescent="0.3">
      <c r="A559">
        <v>600</v>
      </c>
      <c r="B559">
        <v>159.79116110816801</v>
      </c>
      <c r="C559">
        <v>76.302255073594907</v>
      </c>
      <c r="D559">
        <v>4.3503087319268898</v>
      </c>
      <c r="E559">
        <v>42.268407678215503</v>
      </c>
      <c r="F559">
        <v>31.030069183898402</v>
      </c>
      <c r="G559">
        <v>50.7756610442541</v>
      </c>
      <c r="H559">
        <v>27.773373051574399</v>
      </c>
      <c r="I559">
        <v>97.277503522875094</v>
      </c>
      <c r="J559">
        <v>62.663200434575998</v>
      </c>
      <c r="K559" t="s">
        <v>5</v>
      </c>
      <c r="L559">
        <v>10.38</v>
      </c>
      <c r="M559">
        <v>1</v>
      </c>
      <c r="N559">
        <f>LN(1+Table1[[#This Row],[Redness]])</f>
        <v>5.0801063870012717</v>
      </c>
      <c r="O559">
        <f>LN(1+Table1[[#This Row],[Greeness]])</f>
        <v>4.3477231281768418</v>
      </c>
      <c r="P559">
        <f>LN(1+Table1[[#This Row],[Blueness]])</f>
        <v>1.6771542661451584</v>
      </c>
      <c r="Q559">
        <f>LN(1+Table1[[#This Row],[L* lab]])</f>
        <v>3.7674227538881992</v>
      </c>
      <c r="R559">
        <f>LN(1+Table1[[#This Row],[a* lab]]+128)</f>
        <v>5.0753617299761107</v>
      </c>
      <c r="S559">
        <f>LN(1+Table1[[#This Row],[b* lab]]+128)</f>
        <v>5.1917097460462065</v>
      </c>
      <c r="T559">
        <f>LN(1+Table1[[#This Row],[Hue]])</f>
        <v>3.3594504126645424</v>
      </c>
      <c r="U559">
        <f>LN(1+Table1[[#This Row],[Saturation]])</f>
        <v>4.5877951456502029</v>
      </c>
      <c r="V559">
        <f>LN(1+Table1[[#This Row],[Value]])</f>
        <v>4.1536066944604437</v>
      </c>
    </row>
    <row r="560" spans="1:23" x14ac:dyDescent="0.3">
      <c r="A560">
        <v>600</v>
      </c>
      <c r="B560">
        <v>154.24357777493699</v>
      </c>
      <c r="C560">
        <v>74.240005537077295</v>
      </c>
      <c r="D560">
        <v>4.6845401819180399</v>
      </c>
      <c r="E560">
        <v>40.953834554985697</v>
      </c>
      <c r="F560">
        <v>29.805525954162</v>
      </c>
      <c r="G560">
        <v>49.392925312979301</v>
      </c>
      <c r="H560">
        <v>27.904217548297002</v>
      </c>
      <c r="I560">
        <v>96.962894501349396</v>
      </c>
      <c r="J560">
        <v>60.487677558799099</v>
      </c>
      <c r="K560" t="s">
        <v>5</v>
      </c>
      <c r="L560">
        <v>10.38</v>
      </c>
      <c r="M560">
        <v>1</v>
      </c>
      <c r="N560">
        <f>LN(1+Table1[[#This Row],[Redness]])</f>
        <v>5.044995352968817</v>
      </c>
      <c r="O560">
        <f>LN(1+Table1[[#This Row],[Greeness]])</f>
        <v>4.3206830780250289</v>
      </c>
      <c r="P560">
        <f>LN(1+Table1[[#This Row],[Blueness]])</f>
        <v>1.7377502412431987</v>
      </c>
      <c r="Q560">
        <f>LN(1+Table1[[#This Row],[L* lab]])</f>
        <v>3.7365698364827589</v>
      </c>
      <c r="R560">
        <f>LN(1+Table1[[#This Row],[a* lab]]+128)</f>
        <v>5.067680346407605</v>
      </c>
      <c r="S560">
        <f>LN(1+Table1[[#This Row],[b* lab]]+128)</f>
        <v>5.1839885630421954</v>
      </c>
      <c r="T560">
        <f>LN(1+Table1[[#This Row],[Hue]])</f>
        <v>3.3639875203980067</v>
      </c>
      <c r="U560">
        <f>LN(1+Table1[[#This Row],[Saturation]])</f>
        <v>4.5845887794358164</v>
      </c>
      <c r="V560">
        <f>LN(1+Table1[[#This Row],[Value]])</f>
        <v>4.1188367898391691</v>
      </c>
    </row>
    <row r="561" spans="1:23" x14ac:dyDescent="0.3">
      <c r="A561">
        <v>600</v>
      </c>
      <c r="B561">
        <v>154.76535555270499</v>
      </c>
      <c r="C561">
        <v>75.633249668395706</v>
      </c>
      <c r="D561">
        <v>5.6553630190247803</v>
      </c>
      <c r="E561">
        <v>41.340458304756602</v>
      </c>
      <c r="F561">
        <v>29.289850450511398</v>
      </c>
      <c r="G561">
        <v>49.3962352901165</v>
      </c>
      <c r="H561">
        <v>28.1582282154152</v>
      </c>
      <c r="I561">
        <v>96.3458469120378</v>
      </c>
      <c r="J561">
        <v>60.6922962951787</v>
      </c>
      <c r="K561" t="s">
        <v>5</v>
      </c>
      <c r="L561">
        <v>10.38</v>
      </c>
      <c r="M561">
        <v>1</v>
      </c>
      <c r="N561">
        <f>LN(1+Table1[[#This Row],[Redness]])</f>
        <v>5.0483507438363899</v>
      </c>
      <c r="O561">
        <f>LN(1+Table1[[#This Row],[Greeness]])</f>
        <v>4.3390310513439587</v>
      </c>
      <c r="P561">
        <f>LN(1+Table1[[#This Row],[Blueness]])</f>
        <v>1.895422998672635</v>
      </c>
      <c r="Q561">
        <f>LN(1+Table1[[#This Row],[L* lab]])</f>
        <v>3.7457430900401198</v>
      </c>
      <c r="R561">
        <f>LN(1+Table1[[#This Row],[a* lab]]+128)</f>
        <v>5.0644278489155434</v>
      </c>
      <c r="S561">
        <f>LN(1+Table1[[#This Row],[b* lab]]+128)</f>
        <v>5.1840071172893687</v>
      </c>
      <c r="T561">
        <f>LN(1+Table1[[#This Row],[Hue]])</f>
        <v>3.3727371445062153</v>
      </c>
      <c r="U561">
        <f>LN(1+Table1[[#This Row],[Saturation]])</f>
        <v>4.5782700695012801</v>
      </c>
      <c r="V561">
        <f>LN(1+Table1[[#This Row],[Value]])</f>
        <v>4.1221590656634683</v>
      </c>
    </row>
    <row r="562" spans="1:23" x14ac:dyDescent="0.3">
      <c r="A562">
        <v>600</v>
      </c>
      <c r="B562">
        <v>157.45955555265601</v>
      </c>
      <c r="C562">
        <v>75.755894085276296</v>
      </c>
      <c r="D562">
        <v>3.1003754402383401</v>
      </c>
      <c r="E562">
        <v>41.781267888173602</v>
      </c>
      <c r="F562">
        <v>30.3221967479044</v>
      </c>
      <c r="G562">
        <v>50.626076738548903</v>
      </c>
      <c r="H562">
        <v>28.241476247330599</v>
      </c>
      <c r="I562">
        <v>98.031002037725401</v>
      </c>
      <c r="J562">
        <v>61.748845314767102</v>
      </c>
      <c r="K562" t="s">
        <v>5</v>
      </c>
      <c r="L562">
        <v>10.38</v>
      </c>
      <c r="M562">
        <v>1</v>
      </c>
      <c r="N562">
        <f>LN(1+Table1[[#This Row],[Redness]])</f>
        <v>5.065499390741139</v>
      </c>
      <c r="O562">
        <f>LN(1+Table1[[#This Row],[Greeness]])</f>
        <v>4.3406301794180182</v>
      </c>
      <c r="P562">
        <f>LN(1+Table1[[#This Row],[Blueness]])</f>
        <v>1.4110785403077521</v>
      </c>
      <c r="Q562">
        <f>LN(1+Table1[[#This Row],[L* lab]])</f>
        <v>3.7561003406197928</v>
      </c>
      <c r="R562">
        <f>LN(1+Table1[[#This Row],[a* lab]]+128)</f>
        <v>5.0709285464929552</v>
      </c>
      <c r="S562">
        <f>LN(1+Table1[[#This Row],[b* lab]]+128)</f>
        <v>5.1908773387503189</v>
      </c>
      <c r="T562">
        <f>LN(1+Table1[[#This Row],[Hue]])</f>
        <v>3.3755881208619476</v>
      </c>
      <c r="U562">
        <f>LN(1+Table1[[#This Row],[Saturation]])</f>
        <v>4.5954329530089852</v>
      </c>
      <c r="V562">
        <f>LN(1+Table1[[#This Row],[Value]])</f>
        <v>4.1391401764842932</v>
      </c>
    </row>
    <row r="563" spans="1:23" x14ac:dyDescent="0.3">
      <c r="A563">
        <v>600</v>
      </c>
      <c r="B563">
        <v>142.72999999737101</v>
      </c>
      <c r="C563">
        <v>71.963583826471705</v>
      </c>
      <c r="D563">
        <v>8.0034607580572192</v>
      </c>
      <c r="E563">
        <v>38.662399440762599</v>
      </c>
      <c r="F563">
        <v>26.1595310101807</v>
      </c>
      <c r="G563">
        <v>45.995141157656498</v>
      </c>
      <c r="H563">
        <v>28.484420410206798</v>
      </c>
      <c r="I563">
        <v>94.392586871572405</v>
      </c>
      <c r="J563">
        <v>55.972549018577197</v>
      </c>
      <c r="K563" t="s">
        <v>5</v>
      </c>
      <c r="L563">
        <v>10.38</v>
      </c>
      <c r="M563">
        <v>1</v>
      </c>
      <c r="N563">
        <f>LN(1+Table1[[#This Row],[Redness]])</f>
        <v>4.9679365395448496</v>
      </c>
      <c r="O563">
        <f>LN(1+Table1[[#This Row],[Greeness]])</f>
        <v>4.2899604649883214</v>
      </c>
      <c r="P563">
        <f>LN(1+Table1[[#This Row],[Blueness]])</f>
        <v>2.1976090320970405</v>
      </c>
      <c r="Q563">
        <f>LN(1+Table1[[#This Row],[L* lab]])</f>
        <v>3.6804036215329541</v>
      </c>
      <c r="R563">
        <f>LN(1+Table1[[#This Row],[a* lab]]+128)</f>
        <v>5.0444538199465532</v>
      </c>
      <c r="S563">
        <f>LN(1+Table1[[#This Row],[b* lab]]+128)</f>
        <v>5.1647582087246731</v>
      </c>
      <c r="T563">
        <f>LN(1+Table1[[#This Row],[Hue]])</f>
        <v>3.3838620021524912</v>
      </c>
      <c r="U563">
        <f>LN(1+Table1[[#This Row],[Saturation]])</f>
        <v>4.5580008696862757</v>
      </c>
      <c r="V563">
        <f>LN(1+Table1[[#This Row],[Value]])</f>
        <v>4.0425695556645582</v>
      </c>
    </row>
    <row r="564" spans="1:23" x14ac:dyDescent="0.3">
      <c r="A564">
        <v>600</v>
      </c>
      <c r="B564">
        <v>159.90362221927799</v>
      </c>
      <c r="C564">
        <v>78.416493487317197</v>
      </c>
      <c r="D564">
        <v>4.3126817916016096</v>
      </c>
      <c r="E564">
        <v>42.738658454286202</v>
      </c>
      <c r="F564">
        <v>29.943031566419101</v>
      </c>
      <c r="G564">
        <v>51.093122179737598</v>
      </c>
      <c r="H564">
        <v>28.576398404183902</v>
      </c>
      <c r="I564">
        <v>97.302949281731898</v>
      </c>
      <c r="J564">
        <v>62.7073028310894</v>
      </c>
      <c r="K564" t="s">
        <v>5</v>
      </c>
      <c r="L564">
        <v>10.38</v>
      </c>
      <c r="M564">
        <v>1</v>
      </c>
      <c r="N564">
        <f>LN(1+Table1[[#This Row],[Redness]])</f>
        <v>5.0808055659840834</v>
      </c>
      <c r="O564">
        <f>LN(1+Table1[[#This Row],[Greeness]])</f>
        <v>4.3747060732214385</v>
      </c>
      <c r="P564">
        <f>LN(1+Table1[[#This Row],[Blueness]])</f>
        <v>1.6700967532606552</v>
      </c>
      <c r="Q564">
        <f>LN(1+Table1[[#This Row],[L* lab]])</f>
        <v>3.7782323438657359</v>
      </c>
      <c r="R564">
        <f>LN(1+Table1[[#This Row],[a* lab]]+128)</f>
        <v>5.0685458459832047</v>
      </c>
      <c r="S564">
        <f>LN(1+Table1[[#This Row],[b* lab]]+128)</f>
        <v>5.1934740625561808</v>
      </c>
      <c r="T564">
        <f>LN(1+Table1[[#This Row],[Hue]])</f>
        <v>3.3869766920664572</v>
      </c>
      <c r="U564">
        <f>LN(1+Table1[[#This Row],[Saturation]])</f>
        <v>4.5880540295690855</v>
      </c>
      <c r="V564">
        <f>LN(1+Table1[[#This Row],[Value]])</f>
        <v>4.1542992001371131</v>
      </c>
    </row>
    <row r="565" spans="1:23" x14ac:dyDescent="0.3">
      <c r="A565">
        <v>600</v>
      </c>
      <c r="B565">
        <v>157.065599997108</v>
      </c>
      <c r="C565">
        <v>78.252426857523801</v>
      </c>
      <c r="D565">
        <v>6.2560385388433204</v>
      </c>
      <c r="E565">
        <v>42.269919462438097</v>
      </c>
      <c r="F565">
        <v>28.8575809668551</v>
      </c>
      <c r="G565">
        <v>50.038943883345198</v>
      </c>
      <c r="H565">
        <v>28.643961678227502</v>
      </c>
      <c r="I565">
        <v>96.016926342268107</v>
      </c>
      <c r="J565">
        <v>61.594352940042299</v>
      </c>
      <c r="K565" t="s">
        <v>5</v>
      </c>
      <c r="L565">
        <v>10.38</v>
      </c>
      <c r="M565">
        <v>1</v>
      </c>
      <c r="N565">
        <f>LN(1+Table1[[#This Row],[Redness]])</f>
        <v>5.063010136714623</v>
      </c>
      <c r="O565">
        <f>LN(1+Table1[[#This Row],[Greeness]])</f>
        <v>4.3726380350963927</v>
      </c>
      <c r="P565">
        <f>LN(1+Table1[[#This Row],[Blueness]])</f>
        <v>1.9818340241056931</v>
      </c>
      <c r="Q565">
        <f>LN(1+Table1[[#This Row],[L* lab]])</f>
        <v>3.7674576929556087</v>
      </c>
      <c r="R565">
        <f>LN(1+Table1[[#This Row],[a* lab]]+128)</f>
        <v>5.0616932402483314</v>
      </c>
      <c r="S565">
        <f>LN(1+Table1[[#This Row],[b* lab]]+128)</f>
        <v>5.1876033457713353</v>
      </c>
      <c r="T565">
        <f>LN(1+Table1[[#This Row],[Hue]])</f>
        <v>3.3892584513554307</v>
      </c>
      <c r="U565">
        <f>LN(1+Table1[[#This Row],[Saturation]])</f>
        <v>4.5748854616542101</v>
      </c>
      <c r="V565">
        <f>LN(1+Table1[[#This Row],[Value]])</f>
        <v>4.1366750654114881</v>
      </c>
    </row>
    <row r="566" spans="1:23" x14ac:dyDescent="0.3">
      <c r="A566">
        <v>600</v>
      </c>
      <c r="B566">
        <v>146.30662221952801</v>
      </c>
      <c r="C566">
        <v>75.788560744601199</v>
      </c>
      <c r="D566">
        <v>8.9462453303150493</v>
      </c>
      <c r="E566">
        <v>40.0804825646483</v>
      </c>
      <c r="F566">
        <v>25.610502778156899</v>
      </c>
      <c r="G566">
        <v>46.992322794219497</v>
      </c>
      <c r="H566">
        <v>29.1972038493446</v>
      </c>
      <c r="I566">
        <v>93.885276555088794</v>
      </c>
      <c r="J566">
        <v>57.375145968442403</v>
      </c>
      <c r="K566" t="s">
        <v>5</v>
      </c>
      <c r="L566">
        <v>10.38</v>
      </c>
      <c r="M566">
        <v>1</v>
      </c>
      <c r="N566">
        <f>LN(1+Table1[[#This Row],[Redness]])</f>
        <v>4.9925162798207481</v>
      </c>
      <c r="O566">
        <f>LN(1+Table1[[#This Row],[Greeness]])</f>
        <v>4.3410556804216709</v>
      </c>
      <c r="P566">
        <f>LN(1+Table1[[#This Row],[Blueness]])</f>
        <v>2.2971951262174826</v>
      </c>
      <c r="Q566">
        <f>LN(1+Table1[[#This Row],[L* lab]])</f>
        <v>3.7155331319399578</v>
      </c>
      <c r="R566">
        <f>LN(1+Table1[[#This Row],[a* lab]]+128)</f>
        <v>5.0409090690214908</v>
      </c>
      <c r="S566">
        <f>LN(1+Table1[[#This Row],[b* lab]]+128)</f>
        <v>5.1704403735993614</v>
      </c>
      <c r="T566">
        <f>LN(1+Table1[[#This Row],[Hue]])</f>
        <v>3.4077493323242654</v>
      </c>
      <c r="U566">
        <f>LN(1+Table1[[#This Row],[Saturation]])</f>
        <v>4.5526685466361343</v>
      </c>
      <c r="V566">
        <f>LN(1+Table1[[#This Row],[Value]])</f>
        <v>4.0668902165159979</v>
      </c>
    </row>
    <row r="567" spans="1:23" x14ac:dyDescent="0.3">
      <c r="A567">
        <v>600</v>
      </c>
      <c r="B567">
        <v>158.63255555263399</v>
      </c>
      <c r="C567">
        <v>79.632537658460507</v>
      </c>
      <c r="D567">
        <v>3.7169172735913598</v>
      </c>
      <c r="E567">
        <v>42.8041861218571</v>
      </c>
      <c r="F567">
        <v>28.737101463912499</v>
      </c>
      <c r="G567">
        <v>51.196834776460399</v>
      </c>
      <c r="H567">
        <v>29.402694742073201</v>
      </c>
      <c r="I567">
        <v>97.656901346232104</v>
      </c>
      <c r="J567">
        <v>62.208845314758697</v>
      </c>
      <c r="K567" t="s">
        <v>5</v>
      </c>
      <c r="L567">
        <v>10.38</v>
      </c>
      <c r="M567">
        <v>1</v>
      </c>
      <c r="N567">
        <f>LN(1+Table1[[#This Row],[Redness]])</f>
        <v>5.0728746463735375</v>
      </c>
      <c r="O567">
        <f>LN(1+Table1[[#This Row],[Greeness]])</f>
        <v>4.3899022610834821</v>
      </c>
      <c r="P567">
        <f>LN(1+Table1[[#This Row],[Blueness]])</f>
        <v>1.5511554662198535</v>
      </c>
      <c r="Q567">
        <f>LN(1+Table1[[#This Row],[L* lab]])</f>
        <v>3.7797293863739201</v>
      </c>
      <c r="R567">
        <f>LN(1+Table1[[#This Row],[a* lab]]+128)</f>
        <v>5.0609297323978994</v>
      </c>
      <c r="S567">
        <f>LN(1+Table1[[#This Row],[b* lab]]+128)</f>
        <v>5.1940497799614818</v>
      </c>
      <c r="T567">
        <f>LN(1+Table1[[#This Row],[Hue]])</f>
        <v>3.4145312473149878</v>
      </c>
      <c r="U567">
        <f>LN(1+Table1[[#This Row],[Saturation]])</f>
        <v>4.5916481879155739</v>
      </c>
      <c r="V567">
        <f>LN(1+Table1[[#This Row],[Value]])</f>
        <v>4.1464442488716777</v>
      </c>
    </row>
    <row r="568" spans="1:23" x14ac:dyDescent="0.3">
      <c r="A568">
        <v>600</v>
      </c>
      <c r="B568">
        <v>150.19304444167901</v>
      </c>
      <c r="C568">
        <v>80.193026421381802</v>
      </c>
      <c r="D568">
        <v>11.171818018576101</v>
      </c>
      <c r="E568">
        <v>41.679822321256303</v>
      </c>
      <c r="F568">
        <v>24.8958561489627</v>
      </c>
      <c r="G568">
        <v>47.790996862926598</v>
      </c>
      <c r="H568">
        <v>29.788778380969099</v>
      </c>
      <c r="I568">
        <v>92.5616941449547</v>
      </c>
      <c r="J568">
        <v>58.899233114383897</v>
      </c>
      <c r="K568" t="s">
        <v>5</v>
      </c>
      <c r="L568">
        <v>10.38</v>
      </c>
      <c r="M568">
        <v>1</v>
      </c>
      <c r="N568">
        <f>LN(1+Table1[[#This Row],[Redness]])</f>
        <v>5.0185574603174432</v>
      </c>
      <c r="O568">
        <f>LN(1+Table1[[#This Row],[Greeness]])</f>
        <v>4.3968293619695276</v>
      </c>
      <c r="P568">
        <f>LN(1+Table1[[#This Row],[Blueness]])</f>
        <v>2.4991232810994388</v>
      </c>
      <c r="Q568">
        <f>LN(1+Table1[[#This Row],[L* lab]])</f>
        <v>3.7537262633802833</v>
      </c>
      <c r="R568">
        <f>LN(1+Table1[[#This Row],[a* lab]]+128)</f>
        <v>5.0362761148745534</v>
      </c>
      <c r="S568">
        <f>LN(1+Table1[[#This Row],[b* lab]]+128)</f>
        <v>5.1749682261859338</v>
      </c>
      <c r="T568">
        <f>LN(1+Table1[[#This Row],[Hue]])</f>
        <v>3.427150285311988</v>
      </c>
      <c r="U568">
        <f>LN(1+Table1[[#This Row],[Saturation]])</f>
        <v>4.5386210491295786</v>
      </c>
      <c r="V568">
        <f>LN(1+Table1[[#This Row],[Value]])</f>
        <v>4.0926637022745709</v>
      </c>
    </row>
    <row r="569" spans="1:23" x14ac:dyDescent="0.3">
      <c r="A569">
        <v>600</v>
      </c>
      <c r="B569">
        <v>150.031066663904</v>
      </c>
      <c r="C569">
        <v>80.031048680007899</v>
      </c>
      <c r="D569">
        <v>10.377324590287399</v>
      </c>
      <c r="E569">
        <v>41.615687760455501</v>
      </c>
      <c r="F569">
        <v>24.900531233611801</v>
      </c>
      <c r="G569">
        <v>47.954312300725903</v>
      </c>
      <c r="H569">
        <v>29.925610179354901</v>
      </c>
      <c r="I569">
        <v>93.083216149136305</v>
      </c>
      <c r="J569">
        <v>58.835712417217302</v>
      </c>
      <c r="K569" t="s">
        <v>5</v>
      </c>
      <c r="L569">
        <v>10.38</v>
      </c>
      <c r="M569">
        <v>1</v>
      </c>
      <c r="N569">
        <f>LN(1+Table1[[#This Row],[Redness]])</f>
        <v>5.0174855551495092</v>
      </c>
      <c r="O569">
        <f>LN(1+Table1[[#This Row],[Greeness]])</f>
        <v>4.3948323982623663</v>
      </c>
      <c r="P569">
        <f>LN(1+Table1[[#This Row],[Blueness]])</f>
        <v>2.431622303544144</v>
      </c>
      <c r="Q569">
        <f>LN(1+Table1[[#This Row],[L* lab]])</f>
        <v>3.7522224427729398</v>
      </c>
      <c r="R569">
        <f>LN(1+Table1[[#This Row],[a* lab]]+128)</f>
        <v>5.0363064926492189</v>
      </c>
      <c r="S569">
        <f>LN(1+Table1[[#This Row],[b* lab]]+128)</f>
        <v>5.1758915766596898</v>
      </c>
      <c r="T569">
        <f>LN(1+Table1[[#This Row],[Hue]])</f>
        <v>3.4315846490250439</v>
      </c>
      <c r="U569">
        <f>LN(1+Table1[[#This Row],[Saturation]])</f>
        <v>4.5441796688246905</v>
      </c>
      <c r="V569">
        <f>LN(1+Table1[[#This Row],[Value]])</f>
        <v>4.0916026803173855</v>
      </c>
    </row>
    <row r="570" spans="1:23" x14ac:dyDescent="0.3">
      <c r="A570">
        <v>900</v>
      </c>
      <c r="B570">
        <v>156.13069440000001</v>
      </c>
      <c r="C570">
        <v>71.300900639999995</v>
      </c>
      <c r="D570">
        <v>15.64847949</v>
      </c>
      <c r="E570">
        <v>40.67538862</v>
      </c>
      <c r="F570">
        <v>32.355392649999999</v>
      </c>
      <c r="G570">
        <v>45.984679900000003</v>
      </c>
      <c r="H570">
        <v>23.769167289999999</v>
      </c>
      <c r="I570">
        <v>89.977320250000005</v>
      </c>
      <c r="J570">
        <v>61.227723310000002</v>
      </c>
      <c r="K570" t="s">
        <v>5</v>
      </c>
      <c r="L570">
        <v>15.57</v>
      </c>
      <c r="M570">
        <v>1</v>
      </c>
      <c r="N570">
        <f>LN(1+Table1[[#This Row],[Redness]])</f>
        <v>5.0570779074629435</v>
      </c>
      <c r="O570">
        <f>LN(1+Table1[[#This Row],[Greeness]])</f>
        <v>4.2808365860719171</v>
      </c>
      <c r="P570">
        <f>LN(1+Table1[[#This Row],[Blueness]])</f>
        <v>2.8123188903344305</v>
      </c>
      <c r="Q570">
        <f>LN(1+Table1[[#This Row],[L* lab]])</f>
        <v>3.7299107536083769</v>
      </c>
      <c r="R570">
        <f>LN(1+Table1[[#This Row],[a* lab]]+128)</f>
        <v>5.0836093400033029</v>
      </c>
      <c r="S570">
        <f>LN(1+Table1[[#This Row],[b* lab]]+128)</f>
        <v>5.1646984266627927</v>
      </c>
      <c r="T570">
        <f>LN(1+Table1[[#This Row],[Hue]])</f>
        <v>3.2095996252535004</v>
      </c>
      <c r="U570">
        <f>LN(1+Table1[[#This Row],[Saturation]])</f>
        <v>4.5106102474324077</v>
      </c>
      <c r="V570">
        <f>LN(1+Table1[[#This Row],[Value]])</f>
        <v>4.1308006128242978</v>
      </c>
      <c r="W570" t="s">
        <v>26</v>
      </c>
    </row>
    <row r="571" spans="1:23" x14ac:dyDescent="0.3">
      <c r="A571">
        <v>900</v>
      </c>
      <c r="B571">
        <v>161.97905560000001</v>
      </c>
      <c r="C571">
        <v>74.965883149999996</v>
      </c>
      <c r="D571">
        <v>17.613366320000001</v>
      </c>
      <c r="E571">
        <v>42.386575890000003</v>
      </c>
      <c r="F571">
        <v>32.879594179999998</v>
      </c>
      <c r="G571">
        <v>47.039175129999997</v>
      </c>
      <c r="H571">
        <v>23.8363494</v>
      </c>
      <c r="I571">
        <v>89.126145809999997</v>
      </c>
      <c r="J571">
        <v>63.521198259999998</v>
      </c>
      <c r="K571" t="s">
        <v>5</v>
      </c>
      <c r="L571">
        <v>15.57</v>
      </c>
      <c r="M571">
        <v>1</v>
      </c>
      <c r="N571">
        <f>LN(1+Table1[[#This Row],[Redness]])</f>
        <v>5.0936216992992636</v>
      </c>
      <c r="O571">
        <f>LN(1+Table1[[#This Row],[Greeness]])</f>
        <v>4.3302843335768513</v>
      </c>
      <c r="P571">
        <f>LN(1+Table1[[#This Row],[Blueness]])</f>
        <v>2.9238799419907409</v>
      </c>
      <c r="Q571">
        <f>LN(1+Table1[[#This Row],[L* lab]])</f>
        <v>3.7701500819694331</v>
      </c>
      <c r="R571">
        <f>LN(1+Table1[[#This Row],[a* lab]]+128)</f>
        <v>5.0868528130858177</v>
      </c>
      <c r="S571">
        <f>LN(1+Table1[[#This Row],[b* lab]]+128)</f>
        <v>5.1707065562354799</v>
      </c>
      <c r="T571">
        <f>LN(1+Table1[[#This Row],[Hue]])</f>
        <v>3.2123082816916582</v>
      </c>
      <c r="U571">
        <f>LN(1+Table1[[#This Row],[Saturation]])</f>
        <v>4.5012103090887905</v>
      </c>
      <c r="V571">
        <f>LN(1+Table1[[#This Row],[Value]])</f>
        <v>4.1669938250002376</v>
      </c>
      <c r="W571" t="s">
        <v>26</v>
      </c>
    </row>
    <row r="572" spans="1:23" x14ac:dyDescent="0.3">
      <c r="A572">
        <v>900</v>
      </c>
      <c r="B572">
        <v>164.07270829999999</v>
      </c>
      <c r="C572">
        <v>77.375624279999997</v>
      </c>
      <c r="D572">
        <v>17.049439979999999</v>
      </c>
      <c r="E572">
        <v>43.218428750000001</v>
      </c>
      <c r="F572">
        <v>32.461649829999999</v>
      </c>
      <c r="G572">
        <v>48.026221040000003</v>
      </c>
      <c r="H572">
        <v>24.61903547</v>
      </c>
      <c r="I572">
        <v>89.608606969999997</v>
      </c>
      <c r="J572">
        <v>64.342238559999998</v>
      </c>
      <c r="K572" t="s">
        <v>5</v>
      </c>
      <c r="L572">
        <v>15.57</v>
      </c>
      <c r="M572">
        <v>1</v>
      </c>
      <c r="N572">
        <f>LN(1+Table1[[#This Row],[Redness]])</f>
        <v>5.1063860332037141</v>
      </c>
      <c r="O572">
        <f>LN(1+Table1[[#This Row],[Greeness]])</f>
        <v>4.3615129642164181</v>
      </c>
      <c r="P572">
        <f>LN(1+Table1[[#This Row],[Blueness]])</f>
        <v>2.8931146582587912</v>
      </c>
      <c r="Q572">
        <f>LN(1+Table1[[#This Row],[L* lab]])</f>
        <v>3.7891416422335533</v>
      </c>
      <c r="R572">
        <f>LN(1+Table1[[#This Row],[a* lab]]+128)</f>
        <v>5.0842676521111212</v>
      </c>
      <c r="S572">
        <f>LN(1+Table1[[#This Row],[b* lab]]+128)</f>
        <v>5.176297863070892</v>
      </c>
      <c r="T572">
        <f>LN(1+Table1[[#This Row],[Hue]])</f>
        <v>3.2433356482189182</v>
      </c>
      <c r="U572">
        <f>LN(1+Table1[[#This Row],[Saturation]])</f>
        <v>4.5065492082056249</v>
      </c>
      <c r="V572">
        <f>LN(1+Table1[[#This Row],[Value]])</f>
        <v>4.1796386657635907</v>
      </c>
      <c r="W572" t="s">
        <v>26</v>
      </c>
    </row>
    <row r="573" spans="1:23" x14ac:dyDescent="0.3">
      <c r="A573">
        <v>900</v>
      </c>
      <c r="B573">
        <v>168.54877780000001</v>
      </c>
      <c r="C573">
        <v>80.112582000000003</v>
      </c>
      <c r="D573">
        <v>16.788181909999999</v>
      </c>
      <c r="E573">
        <v>44.492511589999999</v>
      </c>
      <c r="F573">
        <v>32.858102369999997</v>
      </c>
      <c r="G573">
        <v>49.415939799999997</v>
      </c>
      <c r="H573">
        <v>25.03590595</v>
      </c>
      <c r="I573">
        <v>90.039570659999995</v>
      </c>
      <c r="J573">
        <v>66.097559910000001</v>
      </c>
      <c r="K573" t="s">
        <v>5</v>
      </c>
      <c r="L573">
        <v>15.57</v>
      </c>
      <c r="M573">
        <v>1</v>
      </c>
      <c r="N573">
        <f>LN(1+Table1[[#This Row],[Redness]])</f>
        <v>5.1331406600525966</v>
      </c>
      <c r="O573">
        <f>LN(1+Table1[[#This Row],[Greeness]])</f>
        <v>4.3958380908883692</v>
      </c>
      <c r="P573">
        <f>LN(1+Table1[[#This Row],[Blueness]])</f>
        <v>2.8785342991533889</v>
      </c>
      <c r="Q573">
        <f>LN(1+Table1[[#This Row],[L* lab]])</f>
        <v>3.8175477319724975</v>
      </c>
      <c r="R573">
        <f>LN(1+Table1[[#This Row],[a* lab]]+128)</f>
        <v>5.0867200401016355</v>
      </c>
      <c r="S573">
        <f>LN(1+Table1[[#This Row],[b* lab]]+128)</f>
        <v>5.1841175648092639</v>
      </c>
      <c r="T573">
        <f>LN(1+Table1[[#This Row],[Hue]])</f>
        <v>3.2594765833975785</v>
      </c>
      <c r="U573">
        <f>LN(1+Table1[[#This Row],[Saturation]])</f>
        <v>4.5112942544178676</v>
      </c>
      <c r="V573">
        <f>LN(1+Table1[[#This Row],[Value]])</f>
        <v>4.2061476783387688</v>
      </c>
      <c r="W573" t="s">
        <v>26</v>
      </c>
    </row>
    <row r="574" spans="1:23" x14ac:dyDescent="0.3">
      <c r="A574">
        <v>900</v>
      </c>
      <c r="B574">
        <v>151.043622219441</v>
      </c>
      <c r="C574">
        <v>69.784939871668797</v>
      </c>
      <c r="D574">
        <v>7.2880822355964003</v>
      </c>
      <c r="E574">
        <v>39.504544991699099</v>
      </c>
      <c r="F574">
        <v>30.890282764077401</v>
      </c>
      <c r="G574">
        <v>47.394155234356198</v>
      </c>
      <c r="H574">
        <v>26.084639649962298</v>
      </c>
      <c r="I574">
        <v>95.174849405420005</v>
      </c>
      <c r="J574">
        <v>59.2327930272318</v>
      </c>
      <c r="K574" t="s">
        <v>5</v>
      </c>
      <c r="L574">
        <v>15.57</v>
      </c>
      <c r="M574">
        <v>1</v>
      </c>
      <c r="N574">
        <f>LN(1+Table1[[#This Row],[Redness]])</f>
        <v>5.0241674679588115</v>
      </c>
      <c r="O574">
        <f>LN(1+Table1[[#This Row],[Greeness]])</f>
        <v>4.2596462643959168</v>
      </c>
      <c r="P574">
        <f>LN(1+Table1[[#This Row],[Blueness]])</f>
        <v>2.1148186077165025</v>
      </c>
      <c r="Q574">
        <f>LN(1+Table1[[#This Row],[L* lab]])</f>
        <v>3.7014141898333355</v>
      </c>
      <c r="R574">
        <f>LN(1+Table1[[#This Row],[a* lab]]+128)</f>
        <v>5.0744878472870871</v>
      </c>
      <c r="S574">
        <f>LN(1+Table1[[#This Row],[b* lab]]+128)</f>
        <v>5.172721009431676</v>
      </c>
      <c r="T574">
        <f>LN(1+Table1[[#This Row],[Hue]])</f>
        <v>3.2989667646079295</v>
      </c>
      <c r="U574">
        <f>LN(1+Table1[[#This Row],[Saturation]])</f>
        <v>4.5661678827979859</v>
      </c>
      <c r="V574">
        <f>LN(1+Table1[[#This Row],[Value]])</f>
        <v>4.0982169386723273</v>
      </c>
    </row>
    <row r="575" spans="1:23" x14ac:dyDescent="0.3">
      <c r="A575">
        <v>900</v>
      </c>
      <c r="B575">
        <v>151.74008888609399</v>
      </c>
      <c r="C575">
        <v>70.547184144801903</v>
      </c>
      <c r="D575">
        <v>7.70898397881282</v>
      </c>
      <c r="E575">
        <v>39.7792690996272</v>
      </c>
      <c r="F575">
        <v>30.782692999141801</v>
      </c>
      <c r="G575">
        <v>47.507532639466199</v>
      </c>
      <c r="H575">
        <v>26.176929020897301</v>
      </c>
      <c r="I575">
        <v>94.919612848915804</v>
      </c>
      <c r="J575">
        <v>59.505917210233299</v>
      </c>
      <c r="K575" t="s">
        <v>5</v>
      </c>
      <c r="L575">
        <v>15.57</v>
      </c>
      <c r="M575">
        <v>1</v>
      </c>
      <c r="N575">
        <f>LN(1+Table1[[#This Row],[Redness]])</f>
        <v>5.0287377114038554</v>
      </c>
      <c r="O575">
        <f>LN(1+Table1[[#This Row],[Greeness]])</f>
        <v>4.2703571501588735</v>
      </c>
      <c r="P575">
        <f>LN(1+Table1[[#This Row],[Blueness]])</f>
        <v>2.1643551340961902</v>
      </c>
      <c r="Q575">
        <f>LN(1+Table1[[#This Row],[L* lab]])</f>
        <v>3.7081738419750772</v>
      </c>
      <c r="R575">
        <f>LN(1+Table1[[#This Row],[a* lab]]+128)</f>
        <v>5.0738147233313251</v>
      </c>
      <c r="S575">
        <f>LN(1+Table1[[#This Row],[b* lab]]+128)</f>
        <v>5.1733635533066797</v>
      </c>
      <c r="T575">
        <f>LN(1+Table1[[#This Row],[Hue]])</f>
        <v>3.3023684156175634</v>
      </c>
      <c r="U575">
        <f>LN(1+Table1[[#This Row],[Saturation]])</f>
        <v>4.56351047452383</v>
      </c>
      <c r="V575">
        <f>LN(1+Table1[[#This Row],[Value]])</f>
        <v>4.1027411653820094</v>
      </c>
    </row>
    <row r="576" spans="1:23" x14ac:dyDescent="0.3">
      <c r="A576">
        <v>900</v>
      </c>
      <c r="B576">
        <v>153.339911108287</v>
      </c>
      <c r="C576">
        <v>72.348428184423994</v>
      </c>
      <c r="D576">
        <v>8.2506608117489595</v>
      </c>
      <c r="E576">
        <v>40.418886011255402</v>
      </c>
      <c r="F576">
        <v>30.500110124621401</v>
      </c>
      <c r="G576">
        <v>47.920685487213099</v>
      </c>
      <c r="H576">
        <v>26.506898577945499</v>
      </c>
      <c r="I576">
        <v>94.619365074548398</v>
      </c>
      <c r="J576">
        <v>60.133298473838302</v>
      </c>
      <c r="K576" t="s">
        <v>5</v>
      </c>
      <c r="L576">
        <v>15.57</v>
      </c>
      <c r="M576">
        <v>1</v>
      </c>
      <c r="N576">
        <f>LN(1+Table1[[#This Row],[Redness]])</f>
        <v>5.039157385081948</v>
      </c>
      <c r="O576">
        <f>LN(1+Table1[[#This Row],[Greeness]])</f>
        <v>4.2952210753808453</v>
      </c>
      <c r="P576">
        <f>LN(1+Table1[[#This Row],[Blueness]])</f>
        <v>2.2246949880806781</v>
      </c>
      <c r="Q576">
        <f>LN(1+Table1[[#This Row],[L* lab]])</f>
        <v>3.7237369606578001</v>
      </c>
      <c r="R576">
        <f>LN(1+Table1[[#This Row],[a* lab]]+128)</f>
        <v>5.0720446126611591</v>
      </c>
      <c r="S576">
        <f>LN(1+Table1[[#This Row],[b* lab]]+128)</f>
        <v>5.1757015275529472</v>
      </c>
      <c r="T576">
        <f>LN(1+Table1[[#This Row],[Hue]])</f>
        <v>3.3144368305929106</v>
      </c>
      <c r="U576">
        <f>LN(1+Table1[[#This Row],[Saturation]])</f>
        <v>4.5603753630854325</v>
      </c>
      <c r="V576">
        <f>LN(1+Table1[[#This Row],[Value]])</f>
        <v>4.1130567009333445</v>
      </c>
    </row>
    <row r="577" spans="1:23" x14ac:dyDescent="0.3">
      <c r="A577">
        <v>900</v>
      </c>
      <c r="B577">
        <v>151.901333330536</v>
      </c>
      <c r="C577">
        <v>70.901317398545203</v>
      </c>
      <c r="D577">
        <v>5.6114306634818396</v>
      </c>
      <c r="E577">
        <v>39.872020720569502</v>
      </c>
      <c r="F577">
        <v>30.626048011462402</v>
      </c>
      <c r="G577">
        <v>48.211958119143603</v>
      </c>
      <c r="H577">
        <v>26.7782884032639</v>
      </c>
      <c r="I577">
        <v>96.305871357118704</v>
      </c>
      <c r="J577">
        <v>59.569150325700498</v>
      </c>
      <c r="K577" t="s">
        <v>5</v>
      </c>
      <c r="L577">
        <v>15.57</v>
      </c>
      <c r="M577">
        <v>1</v>
      </c>
      <c r="N577">
        <f>LN(1+Table1[[#This Row],[Redness]])</f>
        <v>5.0297928331751898</v>
      </c>
      <c r="O577">
        <f>LN(1+Table1[[#This Row],[Greeness]])</f>
        <v>4.2752945872092853</v>
      </c>
      <c r="P577">
        <f>LN(1+Table1[[#This Row],[Blueness]])</f>
        <v>1.8888000696999498</v>
      </c>
      <c r="Q577">
        <f>LN(1+Table1[[#This Row],[L* lab]])</f>
        <v>3.7104457389908245</v>
      </c>
      <c r="R577">
        <f>LN(1+Table1[[#This Row],[a* lab]]+128)</f>
        <v>5.0728338797905863</v>
      </c>
      <c r="S577">
        <f>LN(1+Table1[[#This Row],[b* lab]]+128)</f>
        <v>5.1773465196364006</v>
      </c>
      <c r="T577">
        <f>LN(1+Table1[[#This Row],[Hue]])</f>
        <v>3.3242547228745711</v>
      </c>
      <c r="U577">
        <f>LN(1+Table1[[#This Row],[Saturation]])</f>
        <v>4.577859330198935</v>
      </c>
      <c r="V577">
        <f>LN(1+Table1[[#This Row],[Value]])</f>
        <v>4.1037856929218774</v>
      </c>
    </row>
    <row r="578" spans="1:23" x14ac:dyDescent="0.3">
      <c r="A578">
        <v>900</v>
      </c>
      <c r="B578">
        <v>153.96266666383099</v>
      </c>
      <c r="C578">
        <v>72.962650268602204</v>
      </c>
      <c r="D578">
        <v>7.4849889642084397</v>
      </c>
      <c r="E578">
        <v>40.6459192754631</v>
      </c>
      <c r="F578">
        <v>30.4199183688647</v>
      </c>
      <c r="G578">
        <v>48.348733999996902</v>
      </c>
      <c r="H578">
        <v>26.820876327108301</v>
      </c>
      <c r="I578">
        <v>95.138438995375694</v>
      </c>
      <c r="J578">
        <v>60.377516338757502</v>
      </c>
      <c r="K578" t="s">
        <v>5</v>
      </c>
      <c r="L578">
        <v>15.57</v>
      </c>
      <c r="M578">
        <v>1</v>
      </c>
      <c r="N578">
        <f>LN(1+Table1[[#This Row],[Redness]])</f>
        <v>5.0431842276744137</v>
      </c>
      <c r="O578">
        <f>LN(1+Table1[[#This Row],[Greeness]])</f>
        <v>4.3035602396871058</v>
      </c>
      <c r="P578">
        <f>LN(1+Table1[[#This Row],[Blueness]])</f>
        <v>2.1382985980617071</v>
      </c>
      <c r="Q578">
        <f>LN(1+Table1[[#This Row],[L* lab]])</f>
        <v>3.7292033872333157</v>
      </c>
      <c r="R578">
        <f>LN(1+Table1[[#This Row],[a* lab]]+128)</f>
        <v>5.0715417169488664</v>
      </c>
      <c r="S578">
        <f>LN(1+Table1[[#This Row],[b* lab]]+128)</f>
        <v>5.178118042767295</v>
      </c>
      <c r="T578">
        <f>LN(1+Table1[[#This Row],[Hue]])</f>
        <v>3.3257866858952423</v>
      </c>
      <c r="U578">
        <f>LN(1+Table1[[#This Row],[Saturation]])</f>
        <v>4.5657892255478068</v>
      </c>
      <c r="V578">
        <f>LN(1+Table1[[#This Row],[Value]])</f>
        <v>4.1170435846837226</v>
      </c>
    </row>
    <row r="579" spans="1:23" x14ac:dyDescent="0.3">
      <c r="A579">
        <v>900</v>
      </c>
      <c r="B579">
        <v>154.126222219384</v>
      </c>
      <c r="C579">
        <v>73.141850228327797</v>
      </c>
      <c r="D579">
        <v>7.2286391141612096</v>
      </c>
      <c r="E579">
        <v>40.709261551683802</v>
      </c>
      <c r="F579">
        <v>30.388537666817601</v>
      </c>
      <c r="G579">
        <v>48.475848583842598</v>
      </c>
      <c r="H579">
        <v>26.922108473474101</v>
      </c>
      <c r="I579">
        <v>95.3099226010536</v>
      </c>
      <c r="J579">
        <v>60.441655772307598</v>
      </c>
      <c r="K579" t="s">
        <v>5</v>
      </c>
      <c r="L579">
        <v>15.57</v>
      </c>
      <c r="M579">
        <v>1</v>
      </c>
      <c r="N579">
        <f>LN(1+Table1[[#This Row],[Redness]])</f>
        <v>5.0442391224261032</v>
      </c>
      <c r="O579">
        <f>LN(1+Table1[[#This Row],[Greeness]])</f>
        <v>4.305980153282893</v>
      </c>
      <c r="P579">
        <f>LN(1+Table1[[#This Row],[Blueness]])</f>
        <v>2.1076206442920151</v>
      </c>
      <c r="Q579">
        <f>LN(1+Table1[[#This Row],[L* lab]])</f>
        <v>3.7307232037050624</v>
      </c>
      <c r="R579">
        <f>LN(1+Table1[[#This Row],[a* lab]]+128)</f>
        <v>5.0713448545284736</v>
      </c>
      <c r="S579">
        <f>LN(1+Table1[[#This Row],[b* lab]]+128)</f>
        <v>5.178834535341502</v>
      </c>
      <c r="T579">
        <f>LN(1+Table1[[#This Row],[Hue]])</f>
        <v>3.3294187934337076</v>
      </c>
      <c r="U579">
        <f>LN(1+Table1[[#This Row],[Saturation]])</f>
        <v>4.5675713519285255</v>
      </c>
      <c r="V579">
        <f>LN(1+Table1[[#This Row],[Value]])</f>
        <v>4.1180880378953564</v>
      </c>
    </row>
    <row r="580" spans="1:23" x14ac:dyDescent="0.3">
      <c r="A580">
        <v>900</v>
      </c>
      <c r="B580">
        <v>151.696711108317</v>
      </c>
      <c r="C580">
        <v>72.611539236401896</v>
      </c>
      <c r="D580">
        <v>6.4782558152365501</v>
      </c>
      <c r="E580">
        <v>40.207527976938103</v>
      </c>
      <c r="F580">
        <v>29.635666289978101</v>
      </c>
      <c r="G580">
        <v>48.161466015107301</v>
      </c>
      <c r="H580">
        <v>27.324330074036801</v>
      </c>
      <c r="I580">
        <v>95.729468511277801</v>
      </c>
      <c r="J580">
        <v>59.488906316987403</v>
      </c>
      <c r="K580" t="s">
        <v>5</v>
      </c>
      <c r="L580">
        <v>15.57</v>
      </c>
      <c r="M580">
        <v>1</v>
      </c>
      <c r="N580">
        <f>LN(1+Table1[[#This Row],[Redness]])</f>
        <v>5.0284536737366885</v>
      </c>
      <c r="O580">
        <f>LN(1+Table1[[#This Row],[Greeness]])</f>
        <v>4.2988017965489309</v>
      </c>
      <c r="P580">
        <f>LN(1+Table1[[#This Row],[Blueness]])</f>
        <v>2.0119995850145438</v>
      </c>
      <c r="Q580">
        <f>LN(1+Table1[[#This Row],[L* lab]])</f>
        <v>3.7186209575514479</v>
      </c>
      <c r="R580">
        <f>LN(1+Table1[[#This Row],[a* lab]]+128)</f>
        <v>5.0666101659487008</v>
      </c>
      <c r="S580">
        <f>LN(1+Table1[[#This Row],[b* lab]]+128)</f>
        <v>5.1770615541116785</v>
      </c>
      <c r="T580">
        <f>LN(1+Table1[[#This Row],[Hue]])</f>
        <v>3.3437211552323167</v>
      </c>
      <c r="U580">
        <f>LN(1+Table1[[#This Row],[Saturation]])</f>
        <v>4.5719180976200491</v>
      </c>
      <c r="V580">
        <f>LN(1+Table1[[#This Row],[Value]])</f>
        <v>4.1024599815617089</v>
      </c>
    </row>
    <row r="581" spans="1:23" x14ac:dyDescent="0.3">
      <c r="A581">
        <v>900</v>
      </c>
      <c r="B581">
        <v>152.66133333052201</v>
      </c>
      <c r="C581">
        <v>72.185405998840295</v>
      </c>
      <c r="D581">
        <v>4.6158972652401697</v>
      </c>
      <c r="E581">
        <v>40.262874697318203</v>
      </c>
      <c r="F581">
        <v>30.240682431621799</v>
      </c>
      <c r="G581">
        <v>48.838659110307397</v>
      </c>
      <c r="H581">
        <v>27.384636985555399</v>
      </c>
      <c r="I581">
        <v>96.976380878813302</v>
      </c>
      <c r="J581">
        <v>59.8671895413813</v>
      </c>
      <c r="K581" t="s">
        <v>5</v>
      </c>
      <c r="L581">
        <v>15.57</v>
      </c>
      <c r="M581">
        <v>1</v>
      </c>
      <c r="N581">
        <f>LN(1+Table1[[#This Row],[Redness]])</f>
        <v>5.0347510465495846</v>
      </c>
      <c r="O581">
        <f>LN(1+Table1[[#This Row],[Greeness]])</f>
        <v>4.2929960294895642</v>
      </c>
      <c r="P581">
        <f>LN(1+Table1[[#This Row],[Blueness]])</f>
        <v>1.7256013733297213</v>
      </c>
      <c r="Q581">
        <f>LN(1+Table1[[#This Row],[L* lab]])</f>
        <v>3.7199631779576681</v>
      </c>
      <c r="R581">
        <f>LN(1+Table1[[#This Row],[a* lab]]+128)</f>
        <v>5.0704167836769516</v>
      </c>
      <c r="S581">
        <f>LN(1+Table1[[#This Row],[b* lab]]+128)</f>
        <v>5.1808767297619482</v>
      </c>
      <c r="T581">
        <f>LN(1+Table1[[#This Row],[Hue]])</f>
        <v>3.3458480475874275</v>
      </c>
      <c r="U581">
        <f>LN(1+Table1[[#This Row],[Saturation]])</f>
        <v>4.584726438181967</v>
      </c>
      <c r="V581">
        <f>LN(1+Table1[[#This Row],[Value]])</f>
        <v>4.1086942699495292</v>
      </c>
    </row>
    <row r="582" spans="1:23" x14ac:dyDescent="0.3">
      <c r="A582">
        <v>900</v>
      </c>
      <c r="B582">
        <v>155.076044441589</v>
      </c>
      <c r="C582">
        <v>74.613627675329397</v>
      </c>
      <c r="D582">
        <v>7.0092217754505404</v>
      </c>
      <c r="E582">
        <v>41.173864113540802</v>
      </c>
      <c r="F582">
        <v>29.994514903715999</v>
      </c>
      <c r="G582">
        <v>48.925677540615901</v>
      </c>
      <c r="H582">
        <v>27.394822695282699</v>
      </c>
      <c r="I582">
        <v>95.480138921075806</v>
      </c>
      <c r="J582">
        <v>60.814135075132903</v>
      </c>
      <c r="K582" t="s">
        <v>5</v>
      </c>
      <c r="L582">
        <v>15.57</v>
      </c>
      <c r="M582">
        <v>1</v>
      </c>
      <c r="N582">
        <f>LN(1+Table1[[#This Row],[Redness]])</f>
        <v>5.0503433528465385</v>
      </c>
      <c r="O582">
        <f>LN(1+Table1[[#This Row],[Greeness]])</f>
        <v>4.3256365271962398</v>
      </c>
      <c r="P582">
        <f>LN(1+Table1[[#This Row],[Blueness]])</f>
        <v>2.0805935997373539</v>
      </c>
      <c r="Q582">
        <f>LN(1+Table1[[#This Row],[L* lab]])</f>
        <v>3.7418006953732124</v>
      </c>
      <c r="R582">
        <f>LN(1+Table1[[#This Row],[a* lab]]+128)</f>
        <v>5.0688697041642747</v>
      </c>
      <c r="S582">
        <f>LN(1+Table1[[#This Row],[b* lab]]+128)</f>
        <v>5.1813659211905385</v>
      </c>
      <c r="T582">
        <f>LN(1+Table1[[#This Row],[Hue]])</f>
        <v>3.3462068290867171</v>
      </c>
      <c r="U582">
        <f>LN(1+Table1[[#This Row],[Saturation]])</f>
        <v>4.5693371728729026</v>
      </c>
      <c r="V582">
        <f>LN(1+Table1[[#This Row],[Value]])</f>
        <v>4.1241320612091412</v>
      </c>
    </row>
    <row r="583" spans="1:23" x14ac:dyDescent="0.3">
      <c r="A583">
        <v>900</v>
      </c>
      <c r="B583">
        <v>152.50186666385801</v>
      </c>
      <c r="C583">
        <v>73.368872399527604</v>
      </c>
      <c r="D583">
        <v>4.9680672048681602</v>
      </c>
      <c r="E583">
        <v>40.492595140034901</v>
      </c>
      <c r="F583">
        <v>29.542577795828201</v>
      </c>
      <c r="G583">
        <v>48.859714821031297</v>
      </c>
      <c r="H583">
        <v>27.8176819598573</v>
      </c>
      <c r="I583">
        <v>96.742290888924799</v>
      </c>
      <c r="J583">
        <v>59.804653593669997</v>
      </c>
      <c r="K583" t="s">
        <v>5</v>
      </c>
      <c r="L583">
        <v>15.57</v>
      </c>
      <c r="M583">
        <v>1</v>
      </c>
      <c r="N583">
        <f>LN(1+Table1[[#This Row],[Redness]])</f>
        <v>5.0337127276299105</v>
      </c>
      <c r="O583">
        <f>LN(1+Table1[[#This Row],[Greeness]])</f>
        <v>4.3090374725662128</v>
      </c>
      <c r="P583">
        <f>LN(1+Table1[[#This Row],[Blueness]])</f>
        <v>1.7864231237073864</v>
      </c>
      <c r="Q583">
        <f>LN(1+Table1[[#This Row],[L* lab]])</f>
        <v>3.7255149809554573</v>
      </c>
      <c r="R583">
        <f>LN(1+Table1[[#This Row],[a* lab]]+128)</f>
        <v>5.0660231868695336</v>
      </c>
      <c r="S583">
        <f>LN(1+Table1[[#This Row],[b* lab]]+128)</f>
        <v>5.1809951205800777</v>
      </c>
      <c r="T583">
        <f>LN(1+Table1[[#This Row],[Hue]])</f>
        <v>3.3609891556869349</v>
      </c>
      <c r="U583">
        <f>LN(1+Table1[[#This Row],[Saturation]])</f>
        <v>4.5823343301689743</v>
      </c>
      <c r="V583">
        <f>LN(1+Table1[[#This Row],[Value]])</f>
        <v>4.1076663254127057</v>
      </c>
    </row>
    <row r="584" spans="1:23" x14ac:dyDescent="0.3">
      <c r="A584">
        <v>900</v>
      </c>
      <c r="B584">
        <v>154.71288888603999</v>
      </c>
      <c r="C584">
        <v>74.737227647550796</v>
      </c>
      <c r="D584">
        <v>3.1202861082031701</v>
      </c>
      <c r="E584">
        <v>41.129438771407102</v>
      </c>
      <c r="F584">
        <v>29.710580089707399</v>
      </c>
      <c r="G584">
        <v>49.994759161953503</v>
      </c>
      <c r="H584">
        <v>28.345819081015801</v>
      </c>
      <c r="I584">
        <v>97.983176365802606</v>
      </c>
      <c r="J584">
        <v>60.671721131780401</v>
      </c>
      <c r="K584" t="s">
        <v>5</v>
      </c>
      <c r="L584">
        <v>15.57</v>
      </c>
      <c r="M584">
        <v>1</v>
      </c>
      <c r="N584">
        <f>LN(1+Table1[[#This Row],[Redness]])</f>
        <v>5.0480138556710177</v>
      </c>
      <c r="O584">
        <f>LN(1+Table1[[#This Row],[Greeness]])</f>
        <v>4.3272698182593707</v>
      </c>
      <c r="P584">
        <f>LN(1+Table1[[#This Row],[Blueness]])</f>
        <v>1.4159226046889637</v>
      </c>
      <c r="Q584">
        <f>LN(1+Table1[[#This Row],[L* lab]])</f>
        <v>3.7407467545494084</v>
      </c>
      <c r="R584">
        <f>LN(1+Table1[[#This Row],[a* lab]]+128)</f>
        <v>5.0670822925421328</v>
      </c>
      <c r="S584">
        <f>LN(1+Table1[[#This Row],[b* lab]]+128)</f>
        <v>5.1873565269872932</v>
      </c>
      <c r="T584">
        <f>LN(1+Table1[[#This Row],[Hue]])</f>
        <v>3.3791500857358003</v>
      </c>
      <c r="U584">
        <f>LN(1+Table1[[#This Row],[Saturation]])</f>
        <v>4.5949498999949192</v>
      </c>
      <c r="V584">
        <f>LN(1+Table1[[#This Row],[Value]])</f>
        <v>4.1218254973504669</v>
      </c>
    </row>
    <row r="585" spans="1:23" x14ac:dyDescent="0.3">
      <c r="A585">
        <v>900</v>
      </c>
      <c r="B585">
        <v>154.06611110827399</v>
      </c>
      <c r="C585">
        <v>74.066094465052004</v>
      </c>
      <c r="D585">
        <v>2.3619029873283601</v>
      </c>
      <c r="E585">
        <v>40.880311963579601</v>
      </c>
      <c r="F585">
        <v>29.7858136975006</v>
      </c>
      <c r="G585">
        <v>50.016267595383901</v>
      </c>
      <c r="H585">
        <v>28.359473622732001</v>
      </c>
      <c r="I585">
        <v>98.466954886874205</v>
      </c>
      <c r="J585">
        <v>60.418082787558497</v>
      </c>
      <c r="K585" t="s">
        <v>5</v>
      </c>
      <c r="L585">
        <v>15.57</v>
      </c>
      <c r="M585">
        <v>1</v>
      </c>
      <c r="N585">
        <f>LN(1+Table1[[#This Row],[Redness]])</f>
        <v>5.0438515492632359</v>
      </c>
      <c r="O585">
        <f>LN(1+Table1[[#This Row],[Greeness]])</f>
        <v>4.3183689849891378</v>
      </c>
      <c r="P585">
        <f>LN(1+Table1[[#This Row],[Blueness]])</f>
        <v>1.2125071789271293</v>
      </c>
      <c r="Q585">
        <f>LN(1+Table1[[#This Row],[L* lab]])</f>
        <v>3.7348158349616889</v>
      </c>
      <c r="R585">
        <f>LN(1+Table1[[#This Row],[a* lab]]+128)</f>
        <v>5.0675562104238692</v>
      </c>
      <c r="S585">
        <f>LN(1+Table1[[#This Row],[b* lab]]+128)</f>
        <v>5.1874766821325187</v>
      </c>
      <c r="T585">
        <f>LN(1+Table1[[#This Row],[Hue]])</f>
        <v>3.3796152752045368</v>
      </c>
      <c r="U585">
        <f>LN(1+Table1[[#This Row],[Saturation]])</f>
        <v>4.5998254773135399</v>
      </c>
      <c r="V585">
        <f>LN(1+Table1[[#This Row],[Value]])</f>
        <v>4.1177042997348385</v>
      </c>
    </row>
    <row r="586" spans="1:23" x14ac:dyDescent="0.3">
      <c r="A586">
        <v>1200</v>
      </c>
      <c r="B586">
        <v>135.43887219999999</v>
      </c>
      <c r="C586">
        <v>53.224610259999999</v>
      </c>
      <c r="D586">
        <v>9.4190181410000005</v>
      </c>
      <c r="E586">
        <v>33.51262792</v>
      </c>
      <c r="F586">
        <v>33.146188250000002</v>
      </c>
      <c r="G586">
        <v>41.236114409999999</v>
      </c>
      <c r="H586">
        <v>20.856519370000001</v>
      </c>
      <c r="I586">
        <v>93.045557759999994</v>
      </c>
      <c r="J586">
        <v>53.11328322</v>
      </c>
      <c r="K586" t="s">
        <v>5</v>
      </c>
      <c r="L586" s="3">
        <v>20.76</v>
      </c>
      <c r="M586">
        <v>2</v>
      </c>
      <c r="N586">
        <f>LN(1+Table1[[#This Row],[Redness]])</f>
        <v>4.9158766916118557</v>
      </c>
      <c r="O586">
        <f>LN(1+Table1[[#This Row],[Greeness]])</f>
        <v>3.9931348692274491</v>
      </c>
      <c r="P586">
        <f>LN(1+Table1[[#This Row],[Blueness]])</f>
        <v>2.3436328035745144</v>
      </c>
      <c r="Q586">
        <f>LN(1+Table1[[#This Row],[L* lab]])</f>
        <v>3.5413252837325619</v>
      </c>
      <c r="R586">
        <f>LN(1+Table1[[#This Row],[a* lab]]+128)</f>
        <v>5.0884983249222868</v>
      </c>
      <c r="S586">
        <f>LN(1+Table1[[#This Row],[b* lab]]+128)</f>
        <v>5.1371863817034242</v>
      </c>
      <c r="T586">
        <f>LN(1+Table1[[#This Row],[Hue]])</f>
        <v>3.0844992463747052</v>
      </c>
      <c r="U586">
        <f>LN(1+Table1[[#This Row],[Saturation]])</f>
        <v>4.543779321883</v>
      </c>
      <c r="V586">
        <f>LN(1+Table1[[#This Row],[Value]])</f>
        <v>3.9910796865834266</v>
      </c>
      <c r="W586" t="s">
        <v>26</v>
      </c>
    </row>
    <row r="587" spans="1:23" x14ac:dyDescent="0.3">
      <c r="A587">
        <v>1200</v>
      </c>
      <c r="B587">
        <v>141.59002219999999</v>
      </c>
      <c r="C587">
        <v>60.120142039999998</v>
      </c>
      <c r="D587">
        <v>9.5238213639999998</v>
      </c>
      <c r="E587">
        <v>35.95097655</v>
      </c>
      <c r="F587">
        <v>32.10145052</v>
      </c>
      <c r="G587">
        <v>43.443274539999997</v>
      </c>
      <c r="H587">
        <v>22.9867992</v>
      </c>
      <c r="I587">
        <v>93.273663490000004</v>
      </c>
      <c r="J587">
        <v>55.525498910000003</v>
      </c>
      <c r="K587" t="s">
        <v>5</v>
      </c>
      <c r="L587" s="3">
        <v>20.76</v>
      </c>
      <c r="M587">
        <v>2</v>
      </c>
      <c r="N587">
        <f>LN(1+Table1[[#This Row],[Redness]])</f>
        <v>4.9599735349851581</v>
      </c>
      <c r="O587">
        <f>LN(1+Table1[[#This Row],[Greeness]])</f>
        <v>4.112841468808444</v>
      </c>
      <c r="P587">
        <f>LN(1+Table1[[#This Row],[Blueness]])</f>
        <v>2.3536413888796699</v>
      </c>
      <c r="Q587">
        <f>LN(1+Table1[[#This Row],[L* lab]])</f>
        <v>3.6095920760030236</v>
      </c>
      <c r="R587">
        <f>LN(1+Table1[[#This Row],[a* lab]]+128)</f>
        <v>5.0820342939909358</v>
      </c>
      <c r="S587">
        <f>LN(1+Table1[[#This Row],[b* lab]]+128)</f>
        <v>5.1500683391442408</v>
      </c>
      <c r="T587">
        <f>LN(1+Table1[[#This Row],[Hue]])</f>
        <v>3.1775036456907872</v>
      </c>
      <c r="U587">
        <f>LN(1+Table1[[#This Row],[Saturation]])</f>
        <v>4.5462018663268795</v>
      </c>
      <c r="V587">
        <f>LN(1+Table1[[#This Row],[Value]])</f>
        <v>4.0346918444850992</v>
      </c>
      <c r="W587" t="s">
        <v>26</v>
      </c>
    </row>
    <row r="588" spans="1:23" x14ac:dyDescent="0.3">
      <c r="A588">
        <v>1200</v>
      </c>
      <c r="B588">
        <v>132.78255555311</v>
      </c>
      <c r="C588">
        <v>64.782540995938007</v>
      </c>
      <c r="D588">
        <v>16.902179368383599</v>
      </c>
      <c r="E588">
        <v>35.530110843667998</v>
      </c>
      <c r="F588">
        <v>26.030150425191</v>
      </c>
      <c r="G588">
        <v>39.786222793220801</v>
      </c>
      <c r="H588">
        <v>24.7912700341397</v>
      </c>
      <c r="I588">
        <v>87.270783200415806</v>
      </c>
      <c r="J588">
        <v>52.071590412984499</v>
      </c>
      <c r="K588" t="s">
        <v>5</v>
      </c>
      <c r="L588">
        <v>20.76</v>
      </c>
      <c r="M588">
        <v>2</v>
      </c>
      <c r="N588">
        <f>LN(1+Table1[[#This Row],[Redness]])</f>
        <v>4.8962157621622415</v>
      </c>
      <c r="O588">
        <f>LN(1+Table1[[#This Row],[Greeness]])</f>
        <v>4.1863544687156322</v>
      </c>
      <c r="P588">
        <f>LN(1+Table1[[#This Row],[Blueness]])</f>
        <v>2.8849224578591492</v>
      </c>
      <c r="Q588">
        <f>LN(1+Table1[[#This Row],[L* lab]])</f>
        <v>3.5981368751214489</v>
      </c>
      <c r="R588">
        <f>LN(1+Table1[[#This Row],[a* lab]]+128)</f>
        <v>5.0436196168751035</v>
      </c>
      <c r="S588">
        <f>LN(1+Table1[[#This Row],[b* lab]]+128)</f>
        <v>5.1286329603073106</v>
      </c>
      <c r="T588">
        <f>LN(1+Table1[[#This Row],[Hue]])</f>
        <v>3.2500360638974866</v>
      </c>
      <c r="U588">
        <f>LN(1+Table1[[#This Row],[Saturation]])</f>
        <v>4.4804091717741974</v>
      </c>
      <c r="V588">
        <f>LN(1+Table1[[#This Row],[Value]])</f>
        <v>3.9716417646022695</v>
      </c>
    </row>
    <row r="589" spans="1:23" x14ac:dyDescent="0.3">
      <c r="A589">
        <v>1200</v>
      </c>
      <c r="B589">
        <v>146.04178060000001</v>
      </c>
      <c r="C589">
        <v>64.307777209999998</v>
      </c>
      <c r="D589">
        <v>6.7477109290000001</v>
      </c>
      <c r="E589">
        <v>37.53941785</v>
      </c>
      <c r="F589">
        <v>31.6840656</v>
      </c>
      <c r="G589">
        <v>45.811816550000003</v>
      </c>
      <c r="H589">
        <v>24.793618179999999</v>
      </c>
      <c r="I589">
        <v>95.379602399999996</v>
      </c>
      <c r="J589">
        <v>57.271286490000001</v>
      </c>
      <c r="K589" t="s">
        <v>5</v>
      </c>
      <c r="L589" s="3">
        <v>20.76</v>
      </c>
      <c r="M589">
        <v>2</v>
      </c>
      <c r="N589">
        <f>LN(1+Table1[[#This Row],[Redness]])</f>
        <v>4.9907167681640887</v>
      </c>
      <c r="O589">
        <f>LN(1+Table1[[#This Row],[Greeness]])</f>
        <v>4.1791111288843013</v>
      </c>
      <c r="P589">
        <f>LN(1+Table1[[#This Row],[Blueness]])</f>
        <v>2.0473974357367184</v>
      </c>
      <c r="Q589">
        <f>LN(1+Table1[[#This Row],[L* lab]])</f>
        <v>3.651681557786512</v>
      </c>
      <c r="R589">
        <f>LN(1+Table1[[#This Row],[a* lab]]+128)</f>
        <v>5.0794401116355052</v>
      </c>
      <c r="S589">
        <f>LN(1+Table1[[#This Row],[b* lab]]+128)</f>
        <v>5.1637100613370883</v>
      </c>
      <c r="T589">
        <f>LN(1+Table1[[#This Row],[Hue]])</f>
        <v>3.2501271039653519</v>
      </c>
      <c r="U589">
        <f>LN(1+Table1[[#This Row],[Saturation]])</f>
        <v>4.5682945858664707</v>
      </c>
      <c r="V589">
        <f>LN(1+Table1[[#This Row],[Value]])</f>
        <v>4.0651094589960435</v>
      </c>
      <c r="W589" t="s">
        <v>26</v>
      </c>
    </row>
    <row r="590" spans="1:23" x14ac:dyDescent="0.3">
      <c r="A590">
        <v>1200</v>
      </c>
      <c r="B590">
        <v>132.284622219786</v>
      </c>
      <c r="C590">
        <v>63.397852418252398</v>
      </c>
      <c r="D590">
        <v>14.5184324227858</v>
      </c>
      <c r="E590">
        <v>35.127326702509798</v>
      </c>
      <c r="F590">
        <v>26.518703326521301</v>
      </c>
      <c r="G590">
        <v>40.3711782536868</v>
      </c>
      <c r="H590">
        <v>24.903286798896499</v>
      </c>
      <c r="I590">
        <v>89.024852489154796</v>
      </c>
      <c r="J590">
        <v>51.876322439131897</v>
      </c>
      <c r="K590" t="s">
        <v>5</v>
      </c>
      <c r="L590">
        <v>20.76</v>
      </c>
      <c r="M590">
        <v>2</v>
      </c>
      <c r="N590">
        <f>LN(1+Table1[[#This Row],[Redness]])</f>
        <v>4.8924868583377803</v>
      </c>
      <c r="O590">
        <f>LN(1+Table1[[#This Row],[Greeness]])</f>
        <v>4.1650802850116015</v>
      </c>
      <c r="P590">
        <f>LN(1+Table1[[#This Row],[Blueness]])</f>
        <v>2.742028505967375</v>
      </c>
      <c r="Q590">
        <f>LN(1+Table1[[#This Row],[L* lab]])</f>
        <v>3.5870495513484455</v>
      </c>
      <c r="R590">
        <f>LN(1+Table1[[#This Row],[a* lab]]+128)</f>
        <v>5.0467660030135413</v>
      </c>
      <c r="S590">
        <f>LN(1+Table1[[#This Row],[b* lab]]+128)</f>
        <v>5.1320926275635275</v>
      </c>
      <c r="T590">
        <f>LN(1+Table1[[#This Row],[Hue]])</f>
        <v>3.2543698640862297</v>
      </c>
      <c r="U590">
        <f>LN(1+Table1[[#This Row],[Saturation]])</f>
        <v>4.5000857709793589</v>
      </c>
      <c r="V590">
        <f>LN(1+Table1[[#This Row],[Value]])</f>
        <v>3.9679556477228415</v>
      </c>
    </row>
    <row r="591" spans="1:23" x14ac:dyDescent="0.3">
      <c r="A591">
        <v>1200</v>
      </c>
      <c r="B591">
        <v>131.18168888647301</v>
      </c>
      <c r="C591">
        <v>63.181674689059697</v>
      </c>
      <c r="D591">
        <v>14.6346965017947</v>
      </c>
      <c r="E591">
        <v>34.902857259366399</v>
      </c>
      <c r="F591">
        <v>26.1639849190333</v>
      </c>
      <c r="G591">
        <v>40.061953967217804</v>
      </c>
      <c r="H591">
        <v>24.992654307386601</v>
      </c>
      <c r="I591">
        <v>88.843948705020907</v>
      </c>
      <c r="J591">
        <v>51.443799563322898</v>
      </c>
      <c r="K591" t="s">
        <v>5</v>
      </c>
      <c r="L591">
        <v>20.76</v>
      </c>
      <c r="M591">
        <v>2</v>
      </c>
      <c r="N591">
        <f>LN(1+Table1[[#This Row],[Redness]])</f>
        <v>4.884177407131757</v>
      </c>
      <c r="O591">
        <f>LN(1+Table1[[#This Row],[Greeness]])</f>
        <v>4.1617177289695064</v>
      </c>
      <c r="P591">
        <f>LN(1+Table1[[#This Row],[Blueness]])</f>
        <v>2.7494925792595959</v>
      </c>
      <c r="Q591">
        <f>LN(1+Table1[[#This Row],[L* lab]])</f>
        <v>3.5808168817245578</v>
      </c>
      <c r="R591">
        <f>LN(1+Table1[[#This Row],[a* lab]]+128)</f>
        <v>5.0444825248859102</v>
      </c>
      <c r="S591">
        <f>LN(1+Table1[[#This Row],[b* lab]]+128)</f>
        <v>5.1302652392668175</v>
      </c>
      <c r="T591">
        <f>LN(1+Table1[[#This Row],[Hue]])</f>
        <v>3.2578139714643357</v>
      </c>
      <c r="U591">
        <f>LN(1+Table1[[#This Row],[Saturation]])</f>
        <v>4.4980742621025547</v>
      </c>
      <c r="V591">
        <f>LN(1+Table1[[#This Row],[Value]])</f>
        <v>3.9597421117116705</v>
      </c>
    </row>
    <row r="592" spans="1:23" x14ac:dyDescent="0.3">
      <c r="A592">
        <v>1200</v>
      </c>
      <c r="B592">
        <v>132.50115555311501</v>
      </c>
      <c r="C592">
        <v>64.501141059181506</v>
      </c>
      <c r="D592">
        <v>15.7994705777375</v>
      </c>
      <c r="E592">
        <v>35.415630557640903</v>
      </c>
      <c r="F592">
        <v>26.0333095341778</v>
      </c>
      <c r="G592">
        <v>40.119917522947603</v>
      </c>
      <c r="H592">
        <v>25.039057743709002</v>
      </c>
      <c r="I592">
        <v>88.0759752533599</v>
      </c>
      <c r="J592">
        <v>51.961237471810101</v>
      </c>
      <c r="K592" t="s">
        <v>5</v>
      </c>
      <c r="L592">
        <v>20.76</v>
      </c>
      <c r="M592">
        <v>2</v>
      </c>
      <c r="N592">
        <f>LN(1+Table1[[#This Row],[Redness]])</f>
        <v>4.8941101336314192</v>
      </c>
      <c r="O592">
        <f>LN(1+Table1[[#This Row],[Greeness]])</f>
        <v>4.182067563240329</v>
      </c>
      <c r="P592">
        <f>LN(1+Table1[[#This Row],[Blueness]])</f>
        <v>2.8213473726827503</v>
      </c>
      <c r="Q592">
        <f>LN(1+Table1[[#This Row],[L* lab]])</f>
        <v>3.5949980933964096</v>
      </c>
      <c r="R592">
        <f>LN(1+Table1[[#This Row],[a* lab]]+128)</f>
        <v>5.043639994052004</v>
      </c>
      <c r="S592">
        <f>LN(1+Table1[[#This Row],[b* lab]]+128)</f>
        <v>5.1306080344381968</v>
      </c>
      <c r="T592">
        <f>LN(1+Table1[[#This Row],[Hue]])</f>
        <v>3.2595976317282656</v>
      </c>
      <c r="U592">
        <f>LN(1+Table1[[#This Row],[Saturation]])</f>
        <v>4.4894896601084708</v>
      </c>
      <c r="V592">
        <f>LN(1+Table1[[#This Row],[Value]])</f>
        <v>3.9695602775153245</v>
      </c>
    </row>
    <row r="593" spans="1:22" x14ac:dyDescent="0.3">
      <c r="A593">
        <v>1200</v>
      </c>
      <c r="B593">
        <v>131.56499999757699</v>
      </c>
      <c r="C593">
        <v>63.564985714023202</v>
      </c>
      <c r="D593">
        <v>14.5646758380032</v>
      </c>
      <c r="E593">
        <v>35.049392166360803</v>
      </c>
      <c r="F593">
        <v>26.114228513149499</v>
      </c>
      <c r="G593">
        <v>40.244167091744501</v>
      </c>
      <c r="H593">
        <v>25.1282944186664</v>
      </c>
      <c r="I593">
        <v>88.929672908241898</v>
      </c>
      <c r="J593">
        <v>51.594117646108799</v>
      </c>
      <c r="K593" t="s">
        <v>5</v>
      </c>
      <c r="L593">
        <v>20.76</v>
      </c>
      <c r="M593">
        <v>2</v>
      </c>
      <c r="N593">
        <f>LN(1+Table1[[#This Row],[Redness]])</f>
        <v>4.8870730911575544</v>
      </c>
      <c r="O593">
        <f>LN(1+Table1[[#This Row],[Greeness]])</f>
        <v>4.1676722470335585</v>
      </c>
      <c r="P593">
        <f>LN(1+Table1[[#This Row],[Blueness]])</f>
        <v>2.745003977335756</v>
      </c>
      <c r="Q593">
        <f>LN(1+Table1[[#This Row],[L* lab]])</f>
        <v>3.5848900027389039</v>
      </c>
      <c r="R593">
        <f>LN(1+Table1[[#This Row],[a* lab]]+128)</f>
        <v>5.0441618036482829</v>
      </c>
      <c r="S593">
        <f>LN(1+Table1[[#This Row],[b* lab]]+128)</f>
        <v>5.1313424479296463</v>
      </c>
      <c r="T593">
        <f>LN(1+Table1[[#This Row],[Hue]])</f>
        <v>3.2630188044846773</v>
      </c>
      <c r="U593">
        <f>LN(1+Table1[[#This Row],[Saturation]])</f>
        <v>4.4990279527380226</v>
      </c>
      <c r="V593">
        <f>LN(1+Table1[[#This Row],[Value]])</f>
        <v>3.9626042816669931</v>
      </c>
    </row>
    <row r="594" spans="1:22" x14ac:dyDescent="0.3">
      <c r="A594">
        <v>1200</v>
      </c>
      <c r="B594">
        <v>132.35128888645099</v>
      </c>
      <c r="C594">
        <v>64.351274426196795</v>
      </c>
      <c r="D594">
        <v>15.350947227065401</v>
      </c>
      <c r="E594">
        <v>35.355489265122898</v>
      </c>
      <c r="F594">
        <v>26.039016699659101</v>
      </c>
      <c r="G594">
        <v>40.241282361749803</v>
      </c>
      <c r="H594">
        <v>25.128299543833101</v>
      </c>
      <c r="I594">
        <v>88.401361742509707</v>
      </c>
      <c r="J594">
        <v>51.902466229981101</v>
      </c>
      <c r="K594" t="s">
        <v>5</v>
      </c>
      <c r="L594">
        <v>20.76</v>
      </c>
      <c r="M594">
        <v>2</v>
      </c>
      <c r="N594">
        <f>LN(1+Table1[[#This Row],[Redness]])</f>
        <v>4.892986916021516</v>
      </c>
      <c r="O594">
        <f>LN(1+Table1[[#This Row],[Greeness]])</f>
        <v>4.1797769414286137</v>
      </c>
      <c r="P594">
        <f>LN(1+Table1[[#This Row],[Blueness]])</f>
        <v>2.7942858300422198</v>
      </c>
      <c r="Q594">
        <f>LN(1+Table1[[#This Row],[L* lab]])</f>
        <v>3.5933452039986138</v>
      </c>
      <c r="R594">
        <f>LN(1+Table1[[#This Row],[a* lab]]+128)</f>
        <v>5.043676805885883</v>
      </c>
      <c r="S594">
        <f>LN(1+Table1[[#This Row],[b* lab]]+128)</f>
        <v>5.131325403002017</v>
      </c>
      <c r="T594">
        <f>LN(1+Table1[[#This Row],[Hue]])</f>
        <v>3.2630190006385522</v>
      </c>
      <c r="U594">
        <f>LN(1+Table1[[#This Row],[Saturation]])</f>
        <v>4.4931359140825871</v>
      </c>
      <c r="V594">
        <f>LN(1+Table1[[#This Row],[Value]])</f>
        <v>3.9684499583821049</v>
      </c>
    </row>
    <row r="595" spans="1:22" x14ac:dyDescent="0.3">
      <c r="A595">
        <v>1200</v>
      </c>
      <c r="B595">
        <v>133.30791110865599</v>
      </c>
      <c r="C595">
        <v>65.307896433422002</v>
      </c>
      <c r="D595">
        <v>16.307548158483002</v>
      </c>
      <c r="E595">
        <v>35.727814605840003</v>
      </c>
      <c r="F595">
        <v>25.9480317867651</v>
      </c>
      <c r="G595">
        <v>40.2344029832662</v>
      </c>
      <c r="H595">
        <v>25.128305779259801</v>
      </c>
      <c r="I595">
        <v>87.767006456810293</v>
      </c>
      <c r="J595">
        <v>52.277612199473097</v>
      </c>
      <c r="K595" t="s">
        <v>5</v>
      </c>
      <c r="L595">
        <v>20.76</v>
      </c>
      <c r="M595">
        <v>2</v>
      </c>
      <c r="N595">
        <f>LN(1+Table1[[#This Row],[Redness]])</f>
        <v>4.9001350080389336</v>
      </c>
      <c r="O595">
        <f>LN(1+Table1[[#This Row],[Greeness]])</f>
        <v>4.1943089916596987</v>
      </c>
      <c r="P595">
        <f>LN(1+Table1[[#This Row],[Blueness]])</f>
        <v>2.8511427160872183</v>
      </c>
      <c r="Q595">
        <f>LN(1+Table1[[#This Row],[L* lab]])</f>
        <v>3.6035343591733446</v>
      </c>
      <c r="R595">
        <f>LN(1+Table1[[#This Row],[a* lab]]+128)</f>
        <v>5.0430897819056817</v>
      </c>
      <c r="S595">
        <f>LN(1+Table1[[#This Row],[b* lab]]+128)</f>
        <v>5.1312847538281927</v>
      </c>
      <c r="T595">
        <f>LN(1+Table1[[#This Row],[Hue]])</f>
        <v>3.2630192392850033</v>
      </c>
      <c r="U595">
        <f>LN(1+Table1[[#This Row],[Saturation]])</f>
        <v>4.4860150320469323</v>
      </c>
      <c r="V595">
        <f>LN(1+Table1[[#This Row],[Value]])</f>
        <v>3.9755162091519081</v>
      </c>
    </row>
    <row r="596" spans="1:22" x14ac:dyDescent="0.3">
      <c r="A596">
        <v>1200</v>
      </c>
      <c r="B596">
        <v>133.36533333087701</v>
      </c>
      <c r="C596">
        <v>65.543807491513107</v>
      </c>
      <c r="D596">
        <v>16.4542115609025</v>
      </c>
      <c r="E596">
        <v>35.791075153111699</v>
      </c>
      <c r="F596">
        <v>25.844719875335699</v>
      </c>
      <c r="G596">
        <v>40.233763714971701</v>
      </c>
      <c r="H596">
        <v>25.1932896652186</v>
      </c>
      <c r="I596">
        <v>87.662302376525403</v>
      </c>
      <c r="J596">
        <v>52.300130717991202</v>
      </c>
      <c r="K596" t="s">
        <v>5</v>
      </c>
      <c r="L596">
        <v>20.76</v>
      </c>
      <c r="M596">
        <v>2</v>
      </c>
      <c r="N596">
        <f>LN(1+Table1[[#This Row],[Redness]])</f>
        <v>4.9005624582914891</v>
      </c>
      <c r="O596">
        <f>LN(1+Table1[[#This Row],[Greeness]])</f>
        <v>4.1978604900460397</v>
      </c>
      <c r="P596">
        <f>LN(1+Table1[[#This Row],[Blueness]])</f>
        <v>2.8595809697231491</v>
      </c>
      <c r="Q596">
        <f>LN(1+Table1[[#This Row],[L* lab]])</f>
        <v>3.6052552927481543</v>
      </c>
      <c r="R596">
        <f>LN(1+Table1[[#This Row],[a* lab]]+128)</f>
        <v>5.0424228075190634</v>
      </c>
      <c r="S596">
        <f>LN(1+Table1[[#This Row],[b* lab]]+128)</f>
        <v>5.1312809764076999</v>
      </c>
      <c r="T596">
        <f>LN(1+Table1[[#This Row],[Hue]])</f>
        <v>3.2655032583146677</v>
      </c>
      <c r="U596">
        <f>LN(1+Table1[[#This Row],[Saturation]])</f>
        <v>4.4848347975847975</v>
      </c>
      <c r="V596">
        <f>LN(1+Table1[[#This Row],[Value]])</f>
        <v>3.9759387836639362</v>
      </c>
    </row>
    <row r="597" spans="1:22" x14ac:dyDescent="0.3">
      <c r="A597">
        <v>1200</v>
      </c>
      <c r="B597">
        <v>131.53366666424401</v>
      </c>
      <c r="C597">
        <v>63.9721411780721</v>
      </c>
      <c r="D597">
        <v>14.645251822423401</v>
      </c>
      <c r="E597">
        <v>35.136016580357598</v>
      </c>
      <c r="F597">
        <v>25.875276833690702</v>
      </c>
      <c r="G597">
        <v>40.276924145618501</v>
      </c>
      <c r="H597">
        <v>25.319988857270399</v>
      </c>
      <c r="I597">
        <v>88.865776957463495</v>
      </c>
      <c r="J597">
        <v>51.581830064409701</v>
      </c>
      <c r="K597" t="s">
        <v>5</v>
      </c>
      <c r="L597">
        <v>20.76</v>
      </c>
      <c r="M597">
        <v>2</v>
      </c>
      <c r="N597">
        <f>LN(1+Table1[[#This Row],[Redness]])</f>
        <v>4.8868367011834097</v>
      </c>
      <c r="O597">
        <f>LN(1+Table1[[#This Row],[Greeness]])</f>
        <v>4.1739585807611501</v>
      </c>
      <c r="P597">
        <f>LN(1+Table1[[#This Row],[Blueness]])</f>
        <v>2.750167473023482</v>
      </c>
      <c r="Q597">
        <f>LN(1+Table1[[#This Row],[L* lab]])</f>
        <v>3.5872900571843207</v>
      </c>
      <c r="R597">
        <f>LN(1+Table1[[#This Row],[a* lab]]+128)</f>
        <v>5.0426201274130245</v>
      </c>
      <c r="S597">
        <f>LN(1+Table1[[#This Row],[b* lab]]+128)</f>
        <v>5.1315359782875722</v>
      </c>
      <c r="T597">
        <f>LN(1+Table1[[#This Row],[Hue]])</f>
        <v>3.270328683101039</v>
      </c>
      <c r="U597">
        <f>LN(1+Table1[[#This Row],[Saturation]])</f>
        <v>4.4983171899960723</v>
      </c>
      <c r="V597">
        <f>LN(1+Table1[[#This Row],[Value]])</f>
        <v>3.9623706240290542</v>
      </c>
    </row>
    <row r="598" spans="1:22" x14ac:dyDescent="0.3">
      <c r="A598">
        <v>1200</v>
      </c>
      <c r="B598">
        <v>133.56479999754001</v>
      </c>
      <c r="C598">
        <v>66.871451637574793</v>
      </c>
      <c r="D598">
        <v>17.217750122589599</v>
      </c>
      <c r="E598">
        <v>36.1275594008805</v>
      </c>
      <c r="F598">
        <v>25.208397149646999</v>
      </c>
      <c r="G598">
        <v>40.223732004042503</v>
      </c>
      <c r="H598">
        <v>25.606339774847299</v>
      </c>
      <c r="I598">
        <v>87.109066069123898</v>
      </c>
      <c r="J598">
        <v>52.378352940211997</v>
      </c>
      <c r="K598" t="s">
        <v>5</v>
      </c>
      <c r="L598">
        <v>20.76</v>
      </c>
      <c r="M598">
        <v>2</v>
      </c>
      <c r="N598">
        <f>LN(1+Table1[[#This Row],[Redness]])</f>
        <v>4.9020458673893952</v>
      </c>
      <c r="O598">
        <f>LN(1+Table1[[#This Row],[Greeness]])</f>
        <v>4.2176154989881116</v>
      </c>
      <c r="P598">
        <f>LN(1+Table1[[#This Row],[Blueness]])</f>
        <v>2.9023964002657472</v>
      </c>
      <c r="Q598">
        <f>LN(1+Table1[[#This Row],[L* lab]])</f>
        <v>3.614359534837662</v>
      </c>
      <c r="R598">
        <f>LN(1+Table1[[#This Row],[a* lab]]+128)</f>
        <v>5.0383049158699347</v>
      </c>
      <c r="S598">
        <f>LN(1+Table1[[#This Row],[b* lab]]+128)</f>
        <v>5.1312216974077725</v>
      </c>
      <c r="T598">
        <f>LN(1+Table1[[#This Row],[Hue]])</f>
        <v>3.2811495247900817</v>
      </c>
      <c r="U598">
        <f>LN(1+Table1[[#This Row],[Saturation]])</f>
        <v>4.4785754342210993</v>
      </c>
      <c r="V598">
        <f>LN(1+Table1[[#This Row],[Value]])</f>
        <v>3.9774052881277671</v>
      </c>
    </row>
    <row r="599" spans="1:22" x14ac:dyDescent="0.3">
      <c r="A599">
        <v>1200</v>
      </c>
      <c r="B599">
        <v>130.63288888648299</v>
      </c>
      <c r="C599">
        <v>64.011007836003699</v>
      </c>
      <c r="D599">
        <v>14.321636802812</v>
      </c>
      <c r="E599">
        <v>34.9992671818313</v>
      </c>
      <c r="F599">
        <v>25.4500323876625</v>
      </c>
      <c r="G599">
        <v>40.234330854367599</v>
      </c>
      <c r="H599">
        <v>25.6326211658935</v>
      </c>
      <c r="I599">
        <v>89.036729628434401</v>
      </c>
      <c r="J599">
        <v>51.228583877052301</v>
      </c>
      <c r="K599" t="s">
        <v>5</v>
      </c>
      <c r="L599">
        <v>20.76</v>
      </c>
      <c r="M599">
        <v>2</v>
      </c>
      <c r="N599">
        <f>LN(1+Table1[[#This Row],[Redness]])</f>
        <v>4.8800169032183103</v>
      </c>
      <c r="O599">
        <f>LN(1+Table1[[#This Row],[Greeness]])</f>
        <v>4.1745566068804543</v>
      </c>
      <c r="P599">
        <f>LN(1+Table1[[#This Row],[Blueness]])</f>
        <v>2.7292659995199826</v>
      </c>
      <c r="Q599">
        <f>LN(1+Table1[[#This Row],[L* lab]])</f>
        <v>3.5834985821886809</v>
      </c>
      <c r="R599">
        <f>LN(1+Table1[[#This Row],[a* lab]]+128)</f>
        <v>5.0398706290613156</v>
      </c>
      <c r="S599">
        <f>LN(1+Table1[[#This Row],[b* lab]]+128)</f>
        <v>5.1312843276210343</v>
      </c>
      <c r="T599">
        <f>LN(1+Table1[[#This Row],[Hue]])</f>
        <v>3.2821368240429836</v>
      </c>
      <c r="U599">
        <f>LN(1+Table1[[#This Row],[Saturation]])</f>
        <v>4.5002176940598648</v>
      </c>
      <c r="V599">
        <f>LN(1+Table1[[#This Row],[Value]])</f>
        <v>3.9556299288708408</v>
      </c>
    </row>
    <row r="600" spans="1:22" x14ac:dyDescent="0.3">
      <c r="A600">
        <v>1200</v>
      </c>
      <c r="B600">
        <v>132.27306666423101</v>
      </c>
      <c r="C600">
        <v>65.912518519757896</v>
      </c>
      <c r="D600">
        <v>16.092441834934299</v>
      </c>
      <c r="E600">
        <v>35.6997333255106</v>
      </c>
      <c r="F600">
        <v>25.149213974890301</v>
      </c>
      <c r="G600">
        <v>40.2308254759512</v>
      </c>
      <c r="H600">
        <v>25.7289423729767</v>
      </c>
      <c r="I600">
        <v>87.833923987122503</v>
      </c>
      <c r="J600">
        <v>51.871790848718099</v>
      </c>
      <c r="K600" t="s">
        <v>5</v>
      </c>
      <c r="L600">
        <v>20.76</v>
      </c>
      <c r="M600">
        <v>2</v>
      </c>
      <c r="N600">
        <f>LN(1+Table1[[#This Row],[Redness]])</f>
        <v>4.8924001562388044</v>
      </c>
      <c r="O600">
        <f>LN(1+Table1[[#This Row],[Greeness]])</f>
        <v>4.2033860724952188</v>
      </c>
      <c r="P600">
        <f>LN(1+Table1[[#This Row],[Blueness]])</f>
        <v>2.8386363678416657</v>
      </c>
      <c r="Q600">
        <f>LN(1+Table1[[#This Row],[L* lab]])</f>
        <v>3.6027694886992636</v>
      </c>
      <c r="R600">
        <f>LN(1+Table1[[#This Row],[a* lab]]+128)</f>
        <v>5.0379210552266533</v>
      </c>
      <c r="S600">
        <f>LN(1+Table1[[#This Row],[b* lab]]+128)</f>
        <v>5.1312636142427088</v>
      </c>
      <c r="T600">
        <f>LN(1+Table1[[#This Row],[Hue]])</f>
        <v>3.2857469623263817</v>
      </c>
      <c r="U600">
        <f>LN(1+Table1[[#This Row],[Saturation]])</f>
        <v>4.4867686039264445</v>
      </c>
      <c r="V600">
        <f>LN(1+Table1[[#This Row],[Value]])</f>
        <v>3.967869942356085</v>
      </c>
    </row>
    <row r="601" spans="1:22" x14ac:dyDescent="0.3">
      <c r="A601">
        <v>1200</v>
      </c>
      <c r="B601">
        <v>131.36142221980299</v>
      </c>
      <c r="C601">
        <v>65.361407532506703</v>
      </c>
      <c r="D601">
        <v>15.547742847039199</v>
      </c>
      <c r="E601">
        <v>35.427469972935803</v>
      </c>
      <c r="F601">
        <v>25.044239293883798</v>
      </c>
      <c r="G601">
        <v>40.159298475400497</v>
      </c>
      <c r="H601">
        <v>25.8071403768122</v>
      </c>
      <c r="I601">
        <v>88.164148511559404</v>
      </c>
      <c r="J601">
        <v>51.514283223452303</v>
      </c>
      <c r="K601" t="s">
        <v>5</v>
      </c>
      <c r="L601">
        <v>20.76</v>
      </c>
      <c r="M601">
        <v>2</v>
      </c>
      <c r="N601">
        <f>LN(1+Table1[[#This Row],[Redness]])</f>
        <v>4.8855362280833461</v>
      </c>
      <c r="O601">
        <f>LN(1+Table1[[#This Row],[Greeness]])</f>
        <v>4.1951156756534616</v>
      </c>
      <c r="P601">
        <f>LN(1+Table1[[#This Row],[Blueness]])</f>
        <v>2.806249708657246</v>
      </c>
      <c r="Q601">
        <f>LN(1+Table1[[#This Row],[L* lab]])</f>
        <v>3.5953231596089381</v>
      </c>
      <c r="R601">
        <f>LN(1+Table1[[#This Row],[a* lab]]+128)</f>
        <v>5.0372398293021394</v>
      </c>
      <c r="S601">
        <f>LN(1+Table1[[#This Row],[b* lab]]+128)</f>
        <v>5.1308408654888105</v>
      </c>
      <c r="T601">
        <f>LN(1+Table1[[#This Row],[Hue]])</f>
        <v>3.2886682840007211</v>
      </c>
      <c r="U601">
        <f>LN(1+Table1[[#This Row],[Saturation]])</f>
        <v>4.4904790362773097</v>
      </c>
      <c r="V601">
        <f>LN(1+Table1[[#This Row],[Value]])</f>
        <v>3.9610851939946783</v>
      </c>
    </row>
    <row r="602" spans="1:22" x14ac:dyDescent="0.3">
      <c r="A602">
        <v>10</v>
      </c>
      <c r="B602">
        <v>171.54666666350801</v>
      </c>
      <c r="C602">
        <v>127.546638001068</v>
      </c>
      <c r="D602">
        <v>4.5465654750054796</v>
      </c>
      <c r="E602">
        <v>56.139472200099</v>
      </c>
      <c r="F602">
        <v>7.6979716313603896</v>
      </c>
      <c r="G602">
        <v>60.925995173275098</v>
      </c>
      <c r="H602">
        <v>44.191616047187701</v>
      </c>
      <c r="I602">
        <v>97.349662594188601</v>
      </c>
      <c r="J602">
        <v>67.273202613140398</v>
      </c>
      <c r="K602" t="s">
        <v>6</v>
      </c>
      <c r="L602">
        <v>0.08</v>
      </c>
      <c r="M602">
        <v>0</v>
      </c>
      <c r="N602">
        <f>LN(1+Table1[[#This Row],[Redness]])</f>
        <v>5.1506677312670535</v>
      </c>
      <c r="O602">
        <f>LN(1+Table1[[#This Row],[Greeness]])</f>
        <v>4.8562917801304408</v>
      </c>
      <c r="P602">
        <f>LN(1+Table1[[#This Row],[Blueness]])</f>
        <v>1.7131789028696187</v>
      </c>
      <c r="Q602">
        <f>LN(1+Table1[[#This Row],[L* lab]])</f>
        <v>4.0454951597998505</v>
      </c>
      <c r="R602">
        <f>LN(1+Table1[[#This Row],[a* lab]]+128)</f>
        <v>4.9177739055171141</v>
      </c>
      <c r="S602">
        <f>LN(1+Table1[[#This Row],[b* lab]]+128)</f>
        <v>5.2466344971979879</v>
      </c>
      <c r="T602">
        <f>LN(1+Table1[[#This Row],[Hue]])</f>
        <v>3.810911583951901</v>
      </c>
      <c r="U602">
        <f>LN(1+Table1[[#This Row],[Saturation]])</f>
        <v>4.5885291141651123</v>
      </c>
      <c r="V602">
        <f>LN(1+Table1[[#This Row],[Value]])</f>
        <v>4.2235173413177511</v>
      </c>
    </row>
    <row r="603" spans="1:22" x14ac:dyDescent="0.3">
      <c r="A603">
        <v>10</v>
      </c>
      <c r="B603">
        <v>171.35891110795501</v>
      </c>
      <c r="C603">
        <v>127.35888248771001</v>
      </c>
      <c r="D603">
        <v>4.3588140981808401</v>
      </c>
      <c r="E603">
        <v>56.068815571986903</v>
      </c>
      <c r="F603">
        <v>7.7141181544755097</v>
      </c>
      <c r="G603">
        <v>60.901560847667</v>
      </c>
      <c r="H603">
        <v>44.191615666784898</v>
      </c>
      <c r="I603">
        <v>97.456324815559299</v>
      </c>
      <c r="J603">
        <v>67.199572983512098</v>
      </c>
      <c r="K603" t="s">
        <v>6</v>
      </c>
      <c r="L603">
        <v>0.08</v>
      </c>
      <c r="M603">
        <v>0</v>
      </c>
      <c r="N603">
        <f>LN(1+Table1[[#This Row],[Redness]])</f>
        <v>5.1495789951827469</v>
      </c>
      <c r="O603">
        <f>LN(1+Table1[[#This Row],[Greeness]])</f>
        <v>4.8548301101248397</v>
      </c>
      <c r="P603">
        <f>LN(1+Table1[[#This Row],[Blueness]])</f>
        <v>1.678742700263848</v>
      </c>
      <c r="Q603">
        <f>LN(1+Table1[[#This Row],[L* lab]])</f>
        <v>4.0442578303817331</v>
      </c>
      <c r="R603">
        <f>LN(1+Table1[[#This Row],[a* lab]]+128)</f>
        <v>4.9178920167765439</v>
      </c>
      <c r="S603">
        <f>LN(1+Table1[[#This Row],[b* lab]]+128)</f>
        <v>5.2465058370981374</v>
      </c>
      <c r="T603">
        <f>LN(1+Table1[[#This Row],[Hue]])</f>
        <v>3.8109115755343481</v>
      </c>
      <c r="U603">
        <f>LN(1+Table1[[#This Row],[Saturation]])</f>
        <v>4.5896130469581919</v>
      </c>
      <c r="V603">
        <f>LN(1+Table1[[#This Row],[Value]])</f>
        <v>4.2224383035909892</v>
      </c>
    </row>
    <row r="604" spans="1:22" x14ac:dyDescent="0.3">
      <c r="A604">
        <v>10</v>
      </c>
      <c r="B604">
        <v>171.039644441295</v>
      </c>
      <c r="C604">
        <v>127.039615892797</v>
      </c>
      <c r="D604">
        <v>4.0395545371866897</v>
      </c>
      <c r="E604">
        <v>55.949610668988697</v>
      </c>
      <c r="F604">
        <v>7.7415059197950802</v>
      </c>
      <c r="G604">
        <v>60.851915760761301</v>
      </c>
      <c r="H604">
        <v>44.1916150199336</v>
      </c>
      <c r="I604">
        <v>97.638234954017804</v>
      </c>
      <c r="J604">
        <v>67.074370369135295</v>
      </c>
      <c r="K604" t="s">
        <v>6</v>
      </c>
      <c r="L604">
        <v>0.08</v>
      </c>
      <c r="M604">
        <v>0</v>
      </c>
      <c r="N604">
        <f>LN(1+Table1[[#This Row],[Redness]])</f>
        <v>5.1477249411922594</v>
      </c>
      <c r="O604">
        <f>LN(1+Table1[[#This Row],[Greeness]])</f>
        <v>4.8523397151971084</v>
      </c>
      <c r="P604">
        <f>LN(1+Table1[[#This Row],[Blueness]])</f>
        <v>1.6173176926982191</v>
      </c>
      <c r="Q604">
        <f>LN(1+Table1[[#This Row],[L* lab]])</f>
        <v>4.0421668535043915</v>
      </c>
      <c r="R604">
        <f>LN(1+Table1[[#This Row],[a* lab]]+128)</f>
        <v>4.9180923254409121</v>
      </c>
      <c r="S604">
        <f>LN(1+Table1[[#This Row],[b* lab]]+128)</f>
        <v>5.2462443775447873</v>
      </c>
      <c r="T604">
        <f>LN(1+Table1[[#This Row],[Hue]])</f>
        <v>3.8109115612208235</v>
      </c>
      <c r="U604">
        <f>LN(1+Table1[[#This Row],[Saturation]])</f>
        <v>4.5914589648802773</v>
      </c>
      <c r="V604">
        <f>LN(1+Table1[[#This Row],[Value]])</f>
        <v>4.2206007894408151</v>
      </c>
    </row>
    <row r="605" spans="1:22" x14ac:dyDescent="0.3">
      <c r="A605">
        <v>10</v>
      </c>
      <c r="B605">
        <v>171.999999996833</v>
      </c>
      <c r="C605">
        <v>127.999971232517</v>
      </c>
      <c r="D605">
        <v>5.4880556316283204</v>
      </c>
      <c r="E605">
        <v>56.310464131888097</v>
      </c>
      <c r="F605">
        <v>7.6659387988111103</v>
      </c>
      <c r="G605">
        <v>60.908044662977296</v>
      </c>
      <c r="H605">
        <v>44.145271164039002</v>
      </c>
      <c r="I605">
        <v>96.809269981552603</v>
      </c>
      <c r="J605">
        <v>67.450980390914907</v>
      </c>
      <c r="K605" t="s">
        <v>6</v>
      </c>
      <c r="L605">
        <v>0.08</v>
      </c>
      <c r="M605">
        <v>0</v>
      </c>
      <c r="N605">
        <f>LN(1+Table1[[#This Row],[Redness]])</f>
        <v>5.1532915944794722</v>
      </c>
      <c r="O605">
        <f>LN(1+Table1[[#This Row],[Greeness]])</f>
        <v>4.8598121813579027</v>
      </c>
      <c r="P605">
        <f>LN(1+Table1[[#This Row],[Blueness]])</f>
        <v>1.8699628913183235</v>
      </c>
      <c r="Q605">
        <f>LN(1+Table1[[#This Row],[L* lab]])</f>
        <v>4.0484832271504319</v>
      </c>
      <c r="R605">
        <f>LN(1+Table1[[#This Row],[a* lab]]+128)</f>
        <v>4.9175395451537041</v>
      </c>
      <c r="S605">
        <f>LN(1+Table1[[#This Row],[b* lab]]+128)</f>
        <v>5.2465399795485483</v>
      </c>
      <c r="T605">
        <f>LN(1+Table1[[#This Row],[Hue]])</f>
        <v>3.8098855382546164</v>
      </c>
      <c r="U605">
        <f>LN(1+Table1[[#This Row],[Saturation]])</f>
        <v>4.5830193576363989</v>
      </c>
      <c r="V605">
        <f>LN(1+Table1[[#This Row],[Value]])</f>
        <v>4.2261178743625667</v>
      </c>
    </row>
    <row r="606" spans="1:22" x14ac:dyDescent="0.3">
      <c r="A606">
        <v>10</v>
      </c>
      <c r="B606">
        <v>171.50364444128601</v>
      </c>
      <c r="C606">
        <v>127.50361578851501</v>
      </c>
      <c r="D606">
        <v>5.11899717899444</v>
      </c>
      <c r="E606">
        <v>56.124780862473202</v>
      </c>
      <c r="F606">
        <v>7.7104084043798302</v>
      </c>
      <c r="G606">
        <v>60.813900128824699</v>
      </c>
      <c r="H606">
        <v>44.133141112445898</v>
      </c>
      <c r="I606">
        <v>97.0152254223688</v>
      </c>
      <c r="J606">
        <v>67.2563311534457</v>
      </c>
      <c r="K606" t="s">
        <v>6</v>
      </c>
      <c r="L606">
        <v>0.08</v>
      </c>
      <c r="M606">
        <v>0</v>
      </c>
      <c r="N606">
        <f>LN(1+Table1[[#This Row],[Redness]])</f>
        <v>5.150418363444099</v>
      </c>
      <c r="O606">
        <f>LN(1+Table1[[#This Row],[Greeness]])</f>
        <v>4.8559570423714193</v>
      </c>
      <c r="P606">
        <f>LN(1+Table1[[#This Row],[Blueness]])</f>
        <v>1.8113982234563455</v>
      </c>
      <c r="Q606">
        <f>LN(1+Table1[[#This Row],[L* lab]])</f>
        <v>4.0452380131015087</v>
      </c>
      <c r="R606">
        <f>LN(1+Table1[[#This Row],[a* lab]]+128)</f>
        <v>4.9178648813169517</v>
      </c>
      <c r="S606">
        <f>LN(1+Table1[[#This Row],[b* lab]]+128)</f>
        <v>5.2460441191571601</v>
      </c>
      <c r="T606">
        <f>LN(1+Table1[[#This Row],[Hue]])</f>
        <v>3.8096168128448484</v>
      </c>
      <c r="U606">
        <f>LN(1+Table1[[#This Row],[Saturation]])</f>
        <v>4.5851228280559742</v>
      </c>
      <c r="V606">
        <f>LN(1+Table1[[#This Row],[Value]])</f>
        <v>4.2232701939157913</v>
      </c>
    </row>
    <row r="607" spans="1:22" x14ac:dyDescent="0.3">
      <c r="A607">
        <v>10</v>
      </c>
      <c r="B607">
        <v>171.96548888572201</v>
      </c>
      <c r="C607">
        <v>127.965460129162</v>
      </c>
      <c r="D607">
        <v>6.16535166834724</v>
      </c>
      <c r="E607">
        <v>56.298912712285997</v>
      </c>
      <c r="F607">
        <v>7.6790069267016401</v>
      </c>
      <c r="G607">
        <v>60.783395639209601</v>
      </c>
      <c r="H607">
        <v>44.077204218882002</v>
      </c>
      <c r="I607">
        <v>96.414773854744496</v>
      </c>
      <c r="J607">
        <v>67.437446621851905</v>
      </c>
      <c r="K607" t="s">
        <v>6</v>
      </c>
      <c r="L607">
        <v>0.08</v>
      </c>
      <c r="M607">
        <v>0</v>
      </c>
      <c r="N607">
        <f>LN(1+Table1[[#This Row],[Redness]])</f>
        <v>5.1530920883880587</v>
      </c>
      <c r="O607">
        <f>LN(1+Table1[[#This Row],[Greeness]])</f>
        <v>4.8595446175732615</v>
      </c>
      <c r="P607">
        <f>LN(1+Table1[[#This Row],[Blueness]])</f>
        <v>1.9692571414919051</v>
      </c>
      <c r="Q607">
        <f>LN(1+Table1[[#This Row],[L* lab]])</f>
        <v>4.0482816481878849</v>
      </c>
      <c r="R607">
        <f>LN(1+Table1[[#This Row],[a* lab]]+128)</f>
        <v>4.9176351615395548</v>
      </c>
      <c r="S607">
        <f>LN(1+Table1[[#This Row],[b* lab]]+128)</f>
        <v>5.2458833988884921</v>
      </c>
      <c r="T607">
        <f>LN(1+Table1[[#This Row],[Hue]])</f>
        <v>3.8083766690336818</v>
      </c>
      <c r="U607">
        <f>LN(1+Table1[[#This Row],[Saturation]])</f>
        <v>4.5789778814327988</v>
      </c>
      <c r="V607">
        <f>LN(1+Table1[[#This Row],[Value]])</f>
        <v>4.2259201400558402</v>
      </c>
    </row>
    <row r="608" spans="1:22" x14ac:dyDescent="0.3">
      <c r="A608">
        <v>10</v>
      </c>
      <c r="B608">
        <v>170.43999999686099</v>
      </c>
      <c r="C608">
        <v>126.31321605605299</v>
      </c>
      <c r="D608">
        <v>4.2681716711400401</v>
      </c>
      <c r="E608">
        <v>55.693596733799502</v>
      </c>
      <c r="F608">
        <v>7.8759011970705597</v>
      </c>
      <c r="G608">
        <v>60.600218959104602</v>
      </c>
      <c r="H608">
        <v>44.067052381112397</v>
      </c>
      <c r="I608">
        <v>97.495792260491299</v>
      </c>
      <c r="J608">
        <v>66.839215685043797</v>
      </c>
      <c r="K608" t="s">
        <v>6</v>
      </c>
      <c r="L608">
        <v>0.08</v>
      </c>
      <c r="M608">
        <v>0</v>
      </c>
      <c r="N608">
        <f>LN(1+Table1[[#This Row],[Redness]])</f>
        <v>5.1442333511470117</v>
      </c>
      <c r="O608">
        <f>LN(1+Table1[[#This Row],[Greeness]])</f>
        <v>4.8466503183682859</v>
      </c>
      <c r="P608">
        <f>LN(1+Table1[[#This Row],[Blueness]])</f>
        <v>1.6616833708861469</v>
      </c>
      <c r="Q608">
        <f>LN(1+Table1[[#This Row],[L* lab]])</f>
        <v>4.0376612719718761</v>
      </c>
      <c r="R608">
        <f>LN(1+Table1[[#This Row],[a* lab]]+128)</f>
        <v>4.9190746846372768</v>
      </c>
      <c r="S608">
        <f>LN(1+Table1[[#This Row],[b* lab]]+128)</f>
        <v>5.2449177446678528</v>
      </c>
      <c r="T608">
        <f>LN(1+Table1[[#This Row],[Hue]])</f>
        <v>3.8081514336566222</v>
      </c>
      <c r="U608">
        <f>LN(1+Table1[[#This Row],[Saturation]])</f>
        <v>4.5900138290979955</v>
      </c>
      <c r="V608">
        <f>LN(1+Table1[[#This Row],[Value]])</f>
        <v>4.2171404301704092</v>
      </c>
    </row>
    <row r="609" spans="1:23" x14ac:dyDescent="0.3">
      <c r="A609">
        <v>10</v>
      </c>
      <c r="B609">
        <v>170.21671110797601</v>
      </c>
      <c r="C609">
        <v>126.216682744415</v>
      </c>
      <c r="D609">
        <v>4.9542008468212204</v>
      </c>
      <c r="E609">
        <v>55.644746255049</v>
      </c>
      <c r="F609">
        <v>7.8371681726240103</v>
      </c>
      <c r="G609">
        <v>60.433854557561098</v>
      </c>
      <c r="H609">
        <v>44.025404808133203</v>
      </c>
      <c r="I609">
        <v>97.089474461953003</v>
      </c>
      <c r="J609">
        <v>66.751651414892905</v>
      </c>
      <c r="K609" t="s">
        <v>6</v>
      </c>
      <c r="L609">
        <v>0.08</v>
      </c>
      <c r="M609">
        <v>0</v>
      </c>
      <c r="N609">
        <f>LN(1+Table1[[#This Row],[Redness]])</f>
        <v>5.1429300705559475</v>
      </c>
      <c r="O609">
        <f>LN(1+Table1[[#This Row],[Greeness]])</f>
        <v>4.8458917959571952</v>
      </c>
      <c r="P609">
        <f>LN(1+Table1[[#This Row],[Blueness]])</f>
        <v>1.784096995115201</v>
      </c>
      <c r="Q609">
        <f>LN(1+Table1[[#This Row],[L* lab]])</f>
        <v>4.0367992427505675</v>
      </c>
      <c r="R609">
        <f>LN(1+Table1[[#This Row],[a* lab]]+128)</f>
        <v>4.9187916654537629</v>
      </c>
      <c r="S609">
        <f>LN(1+Table1[[#This Row],[b* lab]]+128)</f>
        <v>5.2440399111227931</v>
      </c>
      <c r="T609">
        <f>LN(1+Table1[[#This Row],[Hue]])</f>
        <v>3.8072268817630404</v>
      </c>
      <c r="U609">
        <f>LN(1+Table1[[#This Row],[Saturation]])</f>
        <v>4.5858800668490876</v>
      </c>
      <c r="V609">
        <f>LN(1+Table1[[#This Row],[Value]])</f>
        <v>4.2158488345903127</v>
      </c>
    </row>
    <row r="610" spans="1:23" x14ac:dyDescent="0.3">
      <c r="A610">
        <v>50</v>
      </c>
      <c r="B610">
        <v>170.72248888574501</v>
      </c>
      <c r="C610">
        <v>121.722461532251</v>
      </c>
      <c r="D610">
        <v>3.7224060403182699</v>
      </c>
      <c r="E610">
        <v>54.540836145370399</v>
      </c>
      <c r="F610">
        <v>10.5705178407398</v>
      </c>
      <c r="G610">
        <v>59.902970835726201</v>
      </c>
      <c r="H610">
        <v>42.395208486627702</v>
      </c>
      <c r="I610">
        <v>97.819615878017402</v>
      </c>
      <c r="J610">
        <v>66.949995641468803</v>
      </c>
      <c r="K610" t="s">
        <v>6</v>
      </c>
      <c r="L610">
        <v>0.4</v>
      </c>
      <c r="M610">
        <v>0</v>
      </c>
      <c r="N610">
        <f>LN(1+Table1[[#This Row],[Redness]])</f>
        <v>5.1458797371119411</v>
      </c>
      <c r="O610">
        <f>LN(1+Table1[[#This Row],[Greeness]])</f>
        <v>4.809925395535867</v>
      </c>
      <c r="P610">
        <f>LN(1+Table1[[#This Row],[Blueness]])</f>
        <v>1.5523184240215928</v>
      </c>
      <c r="Q610">
        <f>LN(1+Table1[[#This Row],[L* lab]])</f>
        <v>4.0171185365973505</v>
      </c>
      <c r="R610">
        <f>LN(1+Table1[[#This Row],[a* lab]]+128)</f>
        <v>4.9385699777718903</v>
      </c>
      <c r="S610">
        <f>LN(1+Table1[[#This Row],[b* lab]]+128)</f>
        <v>5.2412335014125206</v>
      </c>
      <c r="T610">
        <f>LN(1+Table1[[#This Row],[Hue]])</f>
        <v>3.7703490314775165</v>
      </c>
      <c r="U610">
        <f>LN(1+Table1[[#This Row],[Saturation]])</f>
        <v>4.5932961263225911</v>
      </c>
      <c r="V610">
        <f>LN(1+Table1[[#This Row],[Value]])</f>
        <v>4.2187720764539396</v>
      </c>
    </row>
    <row r="611" spans="1:23" x14ac:dyDescent="0.3">
      <c r="A611">
        <v>50</v>
      </c>
      <c r="B611">
        <v>169.838222219095</v>
      </c>
      <c r="C611">
        <v>120.83819506432</v>
      </c>
      <c r="D611">
        <v>2.83815905409433</v>
      </c>
      <c r="E611">
        <v>54.2086089995883</v>
      </c>
      <c r="F611">
        <v>10.6496217590468</v>
      </c>
      <c r="G611">
        <v>59.785795719344399</v>
      </c>
      <c r="H611">
        <v>42.395206483355103</v>
      </c>
      <c r="I611">
        <v>98.3289044026656</v>
      </c>
      <c r="J611">
        <v>66.6032243996451</v>
      </c>
      <c r="K611" t="s">
        <v>6</v>
      </c>
      <c r="L611">
        <v>0.4</v>
      </c>
      <c r="M611">
        <v>0</v>
      </c>
      <c r="N611">
        <f>LN(1+Table1[[#This Row],[Redness]])</f>
        <v>5.1407170398028432</v>
      </c>
      <c r="O611">
        <f>LN(1+Table1[[#This Row],[Greeness]])</f>
        <v>4.8026938944942499</v>
      </c>
      <c r="P611">
        <f>LN(1+Table1[[#This Row],[Blueness]])</f>
        <v>1.3449928386482146</v>
      </c>
      <c r="Q611">
        <f>LN(1+Table1[[#This Row],[L* lab]])</f>
        <v>4.0111189012600006</v>
      </c>
      <c r="R611">
        <f>LN(1+Table1[[#This Row],[a* lab]]+128)</f>
        <v>4.9391365838951931</v>
      </c>
      <c r="S611">
        <f>LN(1+Table1[[#This Row],[b* lab]]+128)</f>
        <v>5.2406130163437696</v>
      </c>
      <c r="T611">
        <f>LN(1+Table1[[#This Row],[Hue]])</f>
        <v>3.7703489853140639</v>
      </c>
      <c r="U611">
        <f>LN(1+Table1[[#This Row],[Saturation]])</f>
        <v>4.5984366102929384</v>
      </c>
      <c r="V611">
        <f>LN(1+Table1[[#This Row],[Value]])</f>
        <v>4.213655680130997</v>
      </c>
    </row>
    <row r="612" spans="1:23" x14ac:dyDescent="0.3">
      <c r="A612">
        <v>50</v>
      </c>
      <c r="B612">
        <v>191.48533330000001</v>
      </c>
      <c r="C612">
        <v>140.02174629999999</v>
      </c>
      <c r="D612">
        <v>16.323770020000001</v>
      </c>
      <c r="E612">
        <v>61.604384469999999</v>
      </c>
      <c r="F612">
        <v>9.9970393089999998</v>
      </c>
      <c r="G612">
        <v>63.890127280000002</v>
      </c>
      <c r="H612">
        <v>42.371616449999998</v>
      </c>
      <c r="I612">
        <v>91.475185210000006</v>
      </c>
      <c r="J612">
        <v>75.092287580000004</v>
      </c>
      <c r="K612" t="s">
        <v>6</v>
      </c>
      <c r="L612">
        <v>0.4</v>
      </c>
      <c r="M612">
        <v>0</v>
      </c>
      <c r="N612">
        <f>LN(1+Table1[[#This Row],[Redness]])</f>
        <v>5.2600199601758337</v>
      </c>
      <c r="O612">
        <f>LN(1+Table1[[#This Row],[Greeness]])</f>
        <v>4.948914107564101</v>
      </c>
      <c r="P612">
        <f>LN(1+Table1[[#This Row],[Blueness]])</f>
        <v>2.8520795480391423</v>
      </c>
      <c r="Q612">
        <f>LN(1+Table1[[#This Row],[L* lab]])</f>
        <v>4.1368353151102735</v>
      </c>
      <c r="R612">
        <f>LN(1+Table1[[#This Row],[a* lab]]+128)</f>
        <v>4.9344526329685934</v>
      </c>
      <c r="S612">
        <f>LN(1+Table1[[#This Row],[b* lab]]+128)</f>
        <v>5.2621207380938815</v>
      </c>
      <c r="T612">
        <f>LN(1+Table1[[#This Row],[Hue]])</f>
        <v>3.7698052283078991</v>
      </c>
      <c r="U612">
        <f>LN(1+Table1[[#This Row],[Saturation]])</f>
        <v>4.5269403405280828</v>
      </c>
      <c r="V612">
        <f>LN(1+Table1[[#This Row],[Value]])</f>
        <v>4.331946913871092</v>
      </c>
      <c r="W612" t="s">
        <v>26</v>
      </c>
    </row>
    <row r="613" spans="1:23" x14ac:dyDescent="0.3">
      <c r="A613">
        <v>50</v>
      </c>
      <c r="B613">
        <v>169.210488885773</v>
      </c>
      <c r="C613">
        <v>120.130461890047</v>
      </c>
      <c r="D613">
        <v>2.3707694566564501</v>
      </c>
      <c r="E613">
        <v>53.952474789713101</v>
      </c>
      <c r="F613">
        <v>10.7531425689572</v>
      </c>
      <c r="G613">
        <v>59.6605912482867</v>
      </c>
      <c r="H613">
        <v>42.349517070515702</v>
      </c>
      <c r="I613">
        <v>98.598922872767702</v>
      </c>
      <c r="J613">
        <v>66.357054465009099</v>
      </c>
      <c r="K613" t="s">
        <v>6</v>
      </c>
      <c r="L613">
        <v>0.4</v>
      </c>
      <c r="M613">
        <v>0</v>
      </c>
      <c r="N613">
        <f>LN(1+Table1[[#This Row],[Redness]])</f>
        <v>5.1370358410663473</v>
      </c>
      <c r="O613">
        <f>LN(1+Table1[[#This Row],[Greeness]])</f>
        <v>4.7968681621977556</v>
      </c>
      <c r="P613">
        <f>LN(1+Table1[[#This Row],[Blueness]])</f>
        <v>1.2151410437193335</v>
      </c>
      <c r="Q613">
        <f>LN(1+Table1[[#This Row],[L* lab]])</f>
        <v>4.0064687169549273</v>
      </c>
      <c r="R613">
        <f>LN(1+Table1[[#This Row],[a* lab]]+128)</f>
        <v>4.9398775988589945</v>
      </c>
      <c r="S613">
        <f>LN(1+Table1[[#This Row],[b* lab]]+128)</f>
        <v>5.2399495871523776</v>
      </c>
      <c r="T613">
        <f>LN(1+Table1[[#This Row],[Hue]])</f>
        <v>3.7692955629226454</v>
      </c>
      <c r="U613">
        <f>LN(1+Table1[[#This Row],[Saturation]])</f>
        <v>4.6011513500016301</v>
      </c>
      <c r="V613">
        <f>LN(1+Table1[[#This Row],[Value]])</f>
        <v>4.2100076407269107</v>
      </c>
    </row>
    <row r="614" spans="1:23" x14ac:dyDescent="0.3">
      <c r="A614">
        <v>50</v>
      </c>
      <c r="B614">
        <v>191.2123556</v>
      </c>
      <c r="C614">
        <v>139.72236860000001</v>
      </c>
      <c r="D614">
        <v>16.46669739</v>
      </c>
      <c r="E614">
        <v>61.495839590000003</v>
      </c>
      <c r="F614">
        <v>10.04312857</v>
      </c>
      <c r="G614">
        <v>63.774336859999998</v>
      </c>
      <c r="H614">
        <v>42.320595259999997</v>
      </c>
      <c r="I614">
        <v>91.388267069999998</v>
      </c>
      <c r="J614">
        <v>74.985237470000001</v>
      </c>
      <c r="K614" t="s">
        <v>6</v>
      </c>
      <c r="L614">
        <v>0.4</v>
      </c>
      <c r="M614">
        <v>0</v>
      </c>
      <c r="N614">
        <f>LN(1+Table1[[#This Row],[Redness]])</f>
        <v>5.258600779589659</v>
      </c>
      <c r="O614">
        <f>LN(1+Table1[[#This Row],[Greeness]])</f>
        <v>4.946788932294468</v>
      </c>
      <c r="P614">
        <f>LN(1+Table1[[#This Row],[Blueness]])</f>
        <v>2.8602960616268054</v>
      </c>
      <c r="Q614">
        <f>LN(1+Table1[[#This Row],[L* lab]])</f>
        <v>4.1350999879667043</v>
      </c>
      <c r="R614">
        <f>LN(1+Table1[[#This Row],[a* lab]]+128)</f>
        <v>4.9347841624866025</v>
      </c>
      <c r="S614">
        <f>LN(1+Table1[[#This Row],[b* lab]]+128)</f>
        <v>5.2615202657442319</v>
      </c>
      <c r="T614">
        <f>LN(1+Table1[[#This Row],[Hue]])</f>
        <v>3.7686281630356131</v>
      </c>
      <c r="U614">
        <f>LN(1+Table1[[#This Row],[Saturation]])</f>
        <v>4.525999990823121</v>
      </c>
      <c r="V614">
        <f>LN(1+Table1[[#This Row],[Value]])</f>
        <v>4.3305390776027686</v>
      </c>
      <c r="W614" t="s">
        <v>26</v>
      </c>
    </row>
    <row r="615" spans="1:23" x14ac:dyDescent="0.3">
      <c r="A615">
        <v>50</v>
      </c>
      <c r="B615">
        <v>172.979199996815</v>
      </c>
      <c r="C615">
        <v>122.61943910843701</v>
      </c>
      <c r="D615">
        <v>4.8759803655308103</v>
      </c>
      <c r="E615">
        <v>55.0379159475522</v>
      </c>
      <c r="F615">
        <v>11.1146678371296</v>
      </c>
      <c r="G615">
        <v>60.165137251111098</v>
      </c>
      <c r="H615">
        <v>42.025414742619503</v>
      </c>
      <c r="I615">
        <v>97.181175328813694</v>
      </c>
      <c r="J615">
        <v>67.834980390907802</v>
      </c>
      <c r="K615" t="s">
        <v>6</v>
      </c>
      <c r="L615">
        <v>0.4</v>
      </c>
      <c r="M615">
        <v>0</v>
      </c>
      <c r="N615">
        <f>LN(1+Table1[[#This Row],[Redness]])</f>
        <v>5.1589357518208345</v>
      </c>
      <c r="O615">
        <f>LN(1+Table1[[#This Row],[Greeness]])</f>
        <v>4.8172078069973834</v>
      </c>
      <c r="P615">
        <f>LN(1+Table1[[#This Row],[Blueness]])</f>
        <v>1.7708729168374999</v>
      </c>
      <c r="Q615">
        <f>LN(1+Table1[[#This Row],[L* lab]])</f>
        <v>4.0260285321183362</v>
      </c>
      <c r="R615">
        <f>LN(1+Table1[[#This Row],[a* lab]]+128)</f>
        <v>4.9424611433454952</v>
      </c>
      <c r="S615">
        <f>LN(1+Table1[[#This Row],[b* lab]]+128)</f>
        <v>5.2426203756386114</v>
      </c>
      <c r="T615">
        <f>LN(1+Table1[[#This Row],[Hue]])</f>
        <v>3.7617909816239377</v>
      </c>
      <c r="U615">
        <f>LN(1+Table1[[#This Row],[Saturation]])</f>
        <v>4.5868144997215614</v>
      </c>
      <c r="V615">
        <f>LN(1+Table1[[#This Row],[Value]])</f>
        <v>4.2317120516439104</v>
      </c>
    </row>
    <row r="616" spans="1:23" x14ac:dyDescent="0.3">
      <c r="A616">
        <v>50</v>
      </c>
      <c r="B616">
        <v>172.018844441277</v>
      </c>
      <c r="C616">
        <v>121.65881710211001</v>
      </c>
      <c r="D616">
        <v>4.1972399165153202</v>
      </c>
      <c r="E616">
        <v>54.678401593529401</v>
      </c>
      <c r="F616">
        <v>11.205398770898899</v>
      </c>
      <c r="G616">
        <v>59.983511620765398</v>
      </c>
      <c r="H616">
        <v>41.995157006712198</v>
      </c>
      <c r="I616">
        <v>97.560011561437804</v>
      </c>
      <c r="J616">
        <v>67.458370369128204</v>
      </c>
      <c r="K616" t="s">
        <v>6</v>
      </c>
      <c r="L616">
        <v>0.4</v>
      </c>
      <c r="M616">
        <v>0</v>
      </c>
      <c r="N616">
        <f>LN(1+Table1[[#This Row],[Redness]])</f>
        <v>5.1534005159718452</v>
      </c>
      <c r="O616">
        <f>LN(1+Table1[[#This Row],[Greeness]])</f>
        <v>4.8094066564379014</v>
      </c>
      <c r="P616">
        <f>LN(1+Table1[[#This Row],[Blueness]])</f>
        <v>1.6481276993854903</v>
      </c>
      <c r="Q616">
        <f>LN(1+Table1[[#This Row],[L* lab]])</f>
        <v>4.0195923086013474</v>
      </c>
      <c r="R616">
        <f>LN(1+Table1[[#This Row],[a* lab]]+128)</f>
        <v>4.9431084814974557</v>
      </c>
      <c r="S616">
        <f>LN(1+Table1[[#This Row],[b* lab]]+128)</f>
        <v>5.241659771152233</v>
      </c>
      <c r="T616">
        <f>LN(1+Table1[[#This Row],[Hue]])</f>
        <v>3.7610874815997017</v>
      </c>
      <c r="U616">
        <f>LN(1+Table1[[#This Row],[Saturation]])</f>
        <v>4.5906656170887521</v>
      </c>
      <c r="V616">
        <f>LN(1+Table1[[#This Row],[Value]])</f>
        <v>4.226225828686788</v>
      </c>
    </row>
    <row r="617" spans="1:23" x14ac:dyDescent="0.3">
      <c r="A617">
        <v>50</v>
      </c>
      <c r="B617">
        <v>168.83715555244601</v>
      </c>
      <c r="C617">
        <v>119.01046214176201</v>
      </c>
      <c r="D617">
        <v>3.4897001084792798</v>
      </c>
      <c r="E617">
        <v>53.624367952901899</v>
      </c>
      <c r="F617">
        <v>11.228469781793899</v>
      </c>
      <c r="G617">
        <v>59.204509604103201</v>
      </c>
      <c r="H617">
        <v>41.919276612913002</v>
      </c>
      <c r="I617">
        <v>97.933097073887097</v>
      </c>
      <c r="J617">
        <v>66.210649236253602</v>
      </c>
      <c r="K617" t="s">
        <v>6</v>
      </c>
      <c r="L617">
        <v>0.4</v>
      </c>
      <c r="M617">
        <v>0</v>
      </c>
      <c r="N617">
        <f>LN(1+Table1[[#This Row],[Redness]])</f>
        <v>5.1348400694476775</v>
      </c>
      <c r="O617">
        <f>LN(1+Table1[[#This Row],[Greeness]])</f>
        <v>4.7875789234963806</v>
      </c>
      <c r="P617">
        <f>LN(1+Table1[[#This Row],[Blueness]])</f>
        <v>1.5017859085389755</v>
      </c>
      <c r="Q617">
        <f>LN(1+Table1[[#This Row],[L* lab]])</f>
        <v>4.0004800826925555</v>
      </c>
      <c r="R617">
        <f>LN(1+Table1[[#This Row],[a* lab]]+128)</f>
        <v>4.9432730194761678</v>
      </c>
      <c r="S617">
        <f>LN(1+Table1[[#This Row],[b* lab]]+128)</f>
        <v>5.2375291886288302</v>
      </c>
      <c r="T617">
        <f>LN(1+Table1[[#This Row],[Hue]])</f>
        <v>3.7593210633080902</v>
      </c>
      <c r="U617">
        <f>LN(1+Table1[[#This Row],[Saturation]])</f>
        <v>4.5944438345550855</v>
      </c>
      <c r="V617">
        <f>LN(1+Table1[[#This Row],[Value]])</f>
        <v>4.20783170575152</v>
      </c>
    </row>
    <row r="618" spans="1:23" x14ac:dyDescent="0.3">
      <c r="A618">
        <v>50</v>
      </c>
      <c r="B618">
        <v>171.613866663506</v>
      </c>
      <c r="C618">
        <v>121.228239421103</v>
      </c>
      <c r="D618">
        <v>4.5965199187386796</v>
      </c>
      <c r="E618">
        <v>54.5218866486194</v>
      </c>
      <c r="F618">
        <v>11.2677787512875</v>
      </c>
      <c r="G618">
        <v>59.778290198806502</v>
      </c>
      <c r="H618">
        <v>41.899259607063001</v>
      </c>
      <c r="I618">
        <v>97.321591775709194</v>
      </c>
      <c r="J618">
        <v>67.299555554316399</v>
      </c>
      <c r="K618" t="s">
        <v>6</v>
      </c>
      <c r="L618">
        <v>0.4</v>
      </c>
      <c r="M618">
        <v>0</v>
      </c>
      <c r="N618">
        <f>LN(1+Table1[[#This Row],[Redness]])</f>
        <v>5.151057115303515</v>
      </c>
      <c r="O618">
        <f>LN(1+Table1[[#This Row],[Greeness]])</f>
        <v>4.8058901118656117</v>
      </c>
      <c r="P618">
        <f>LN(1+Table1[[#This Row],[Blueness]])</f>
        <v>1.7221449614829365</v>
      </c>
      <c r="Q618">
        <f>LN(1+Table1[[#This Row],[L* lab]])</f>
        <v>4.0167772970444533</v>
      </c>
      <c r="R618">
        <f>LN(1+Table1[[#This Row],[a* lab]]+128)</f>
        <v>4.9435533010839006</v>
      </c>
      <c r="S618">
        <f>LN(1+Table1[[#This Row],[b* lab]]+128)</f>
        <v>5.2405732587459539</v>
      </c>
      <c r="T618">
        <f>LN(1+Table1[[#This Row],[Hue]])</f>
        <v>3.7588545672084201</v>
      </c>
      <c r="U618">
        <f>LN(1+Table1[[#This Row],[Saturation]])</f>
        <v>4.5882436548715315</v>
      </c>
      <c r="V618">
        <f>LN(1+Table1[[#This Row],[Value]])</f>
        <v>4.2239032592981252</v>
      </c>
    </row>
    <row r="619" spans="1:23" x14ac:dyDescent="0.3">
      <c r="A619">
        <v>50</v>
      </c>
      <c r="B619">
        <v>169.332622219104</v>
      </c>
      <c r="C619">
        <v>119.332595402697</v>
      </c>
      <c r="D619">
        <v>4.3325257943835203</v>
      </c>
      <c r="E619">
        <v>53.767476969931501</v>
      </c>
      <c r="F619">
        <v>11.2865355523603</v>
      </c>
      <c r="G619">
        <v>59.1708215079383</v>
      </c>
      <c r="H619">
        <v>41.818182692074302</v>
      </c>
      <c r="I619">
        <v>97.441411030192597</v>
      </c>
      <c r="J619">
        <v>66.404949889844801</v>
      </c>
      <c r="K619" t="s">
        <v>6</v>
      </c>
      <c r="L619">
        <v>0.4</v>
      </c>
      <c r="M619">
        <v>0</v>
      </c>
      <c r="N619">
        <f>LN(1+Table1[[#This Row],[Redness]])</f>
        <v>5.1377531266879606</v>
      </c>
      <c r="O619">
        <f>LN(1+Table1[[#This Row],[Greeness]])</f>
        <v>4.7902595372584083</v>
      </c>
      <c r="P619">
        <f>LN(1+Table1[[#This Row],[Blueness]])</f>
        <v>1.6738250085543924</v>
      </c>
      <c r="Q619">
        <f>LN(1+Table1[[#This Row],[L* lab]])</f>
        <v>4.003096531821317</v>
      </c>
      <c r="R619">
        <f>LN(1+Table1[[#This Row],[a* lab]]+128)</f>
        <v>4.9436870135249107</v>
      </c>
      <c r="S619">
        <f>LN(1+Table1[[#This Row],[b* lab]]+128)</f>
        <v>5.2373501753223239</v>
      </c>
      <c r="T619">
        <f>LN(1+Table1[[#This Row],[Hue]])</f>
        <v>3.7569628416274257</v>
      </c>
      <c r="U619">
        <f>LN(1+Table1[[#This Row],[Saturation]])</f>
        <v>4.5894615593310624</v>
      </c>
      <c r="V619">
        <f>LN(1+Table1[[#This Row],[Value]])</f>
        <v>4.2107184557237884</v>
      </c>
    </row>
    <row r="620" spans="1:23" x14ac:dyDescent="0.3">
      <c r="A620">
        <v>50</v>
      </c>
      <c r="B620">
        <v>169.09831110799701</v>
      </c>
      <c r="C620">
        <v>119.09828434424701</v>
      </c>
      <c r="D620">
        <v>4.0982198981545004</v>
      </c>
      <c r="E620">
        <v>53.679301273237598</v>
      </c>
      <c r="F620">
        <v>11.307733107018599</v>
      </c>
      <c r="G620">
        <v>59.139997293928502</v>
      </c>
      <c r="H620">
        <v>41.818182136580099</v>
      </c>
      <c r="I620">
        <v>97.576427658383196</v>
      </c>
      <c r="J620">
        <v>66.3130631796068</v>
      </c>
      <c r="K620" t="s">
        <v>6</v>
      </c>
      <c r="L620">
        <v>0.4</v>
      </c>
      <c r="M620">
        <v>0</v>
      </c>
      <c r="N620">
        <f>LN(1+Table1[[#This Row],[Redness]])</f>
        <v>5.1363765705341651</v>
      </c>
      <c r="O620">
        <f>LN(1+Table1[[#This Row],[Greeness]])</f>
        <v>4.7883104437569841</v>
      </c>
      <c r="P620">
        <f>LN(1+Table1[[#This Row],[Blueness]])</f>
        <v>1.6288914392242397</v>
      </c>
      <c r="Q620">
        <f>LN(1+Table1[[#This Row],[L* lab]])</f>
        <v>4.0014852333036863</v>
      </c>
      <c r="R620">
        <f>LN(1+Table1[[#This Row],[a* lab]]+128)</f>
        <v>4.9438381039573693</v>
      </c>
      <c r="S620">
        <f>LN(1+Table1[[#This Row],[b* lab]]+128)</f>
        <v>5.2371863521605189</v>
      </c>
      <c r="T620">
        <f>LN(1+Table1[[#This Row],[Hue]])</f>
        <v>3.7569628286541006</v>
      </c>
      <c r="U620">
        <f>LN(1+Table1[[#This Row],[Saturation]])</f>
        <v>4.5908321626249124</v>
      </c>
      <c r="V620">
        <f>LN(1+Table1[[#This Row],[Value]])</f>
        <v>4.209354321523862</v>
      </c>
    </row>
    <row r="621" spans="1:23" x14ac:dyDescent="0.3">
      <c r="A621">
        <v>50</v>
      </c>
      <c r="B621">
        <v>171.15875555240399</v>
      </c>
      <c r="C621">
        <v>120.722283979259</v>
      </c>
      <c r="D621">
        <v>4.9908222539708298</v>
      </c>
      <c r="E621">
        <v>54.3399027510062</v>
      </c>
      <c r="F621">
        <v>11.3493999795151</v>
      </c>
      <c r="G621">
        <v>59.553618426244398</v>
      </c>
      <c r="H621">
        <v>41.788373759492302</v>
      </c>
      <c r="I621">
        <v>97.084097604085002</v>
      </c>
      <c r="J621">
        <v>67.121080608785903</v>
      </c>
      <c r="K621" t="s">
        <v>6</v>
      </c>
      <c r="L621">
        <v>0.4</v>
      </c>
      <c r="M621">
        <v>0</v>
      </c>
      <c r="N621">
        <f>LN(1+Table1[[#This Row],[Redness]])</f>
        <v>5.1484170485109795</v>
      </c>
      <c r="O621">
        <f>LN(1+Table1[[#This Row],[Greeness]])</f>
        <v>4.8017420890595846</v>
      </c>
      <c r="P621">
        <f>LN(1+Table1[[#This Row],[Blueness]])</f>
        <v>1.7902286738202018</v>
      </c>
      <c r="Q621">
        <f>LN(1+Table1[[#This Row],[L* lab]])</f>
        <v>4.0134942170570227</v>
      </c>
      <c r="R621">
        <f>LN(1+Table1[[#This Row],[a* lab]]+128)</f>
        <v>4.9441350276260785</v>
      </c>
      <c r="S621">
        <f>LN(1+Table1[[#This Row],[b* lab]]+128)</f>
        <v>5.2393824143250214</v>
      </c>
      <c r="T621">
        <f>LN(1+Table1[[#This Row],[Hue]])</f>
        <v>3.7562664245532584</v>
      </c>
      <c r="U621">
        <f>LN(1+Table1[[#This Row],[Saturation]])</f>
        <v>4.5858252494971605</v>
      </c>
      <c r="V621">
        <f>LN(1+Table1[[#This Row],[Value]])</f>
        <v>4.2212867189802621</v>
      </c>
    </row>
    <row r="622" spans="1:23" x14ac:dyDescent="0.3">
      <c r="A622">
        <v>50</v>
      </c>
      <c r="B622">
        <v>169.89973333020501</v>
      </c>
      <c r="C622">
        <v>119.502017586843</v>
      </c>
      <c r="D622">
        <v>4.0998198625445301</v>
      </c>
      <c r="E622">
        <v>53.877571133678003</v>
      </c>
      <c r="F622">
        <v>11.447173068265901</v>
      </c>
      <c r="G622">
        <v>59.322693875327197</v>
      </c>
      <c r="H622">
        <v>41.761975134012701</v>
      </c>
      <c r="I622">
        <v>97.586918012062796</v>
      </c>
      <c r="J622">
        <v>66.627346404001898</v>
      </c>
      <c r="K622" t="s">
        <v>6</v>
      </c>
      <c r="L622">
        <v>0.4</v>
      </c>
      <c r="M622">
        <v>0</v>
      </c>
      <c r="N622">
        <f>LN(1+Table1[[#This Row],[Redness]])</f>
        <v>5.141077029735337</v>
      </c>
      <c r="O622">
        <f>LN(1+Table1[[#This Row],[Greeness]])</f>
        <v>4.7916664962498174</v>
      </c>
      <c r="P622">
        <f>LN(1+Table1[[#This Row],[Blueness]])</f>
        <v>1.6292052180367764</v>
      </c>
      <c r="Q622">
        <f>LN(1+Table1[[#This Row],[L* lab]])</f>
        <v>4.0051047246699678</v>
      </c>
      <c r="R622">
        <f>LN(1+Table1[[#This Row],[a* lab]]+128)</f>
        <v>4.944831425674252</v>
      </c>
      <c r="S622">
        <f>LN(1+Table1[[#This Row],[b* lab]]+128)</f>
        <v>5.2381569481851811</v>
      </c>
      <c r="T622">
        <f>LN(1+Table1[[#This Row],[Hue]])</f>
        <v>3.7556492762503253</v>
      </c>
      <c r="U622">
        <f>LN(1+Table1[[#This Row],[Saturation]])</f>
        <v>4.5909385754437233</v>
      </c>
      <c r="V622">
        <f>LN(1+Table1[[#This Row],[Value]])</f>
        <v>4.2140124338512432</v>
      </c>
    </row>
    <row r="623" spans="1:23" x14ac:dyDescent="0.3">
      <c r="A623">
        <v>50</v>
      </c>
      <c r="B623">
        <v>170.91786666351899</v>
      </c>
      <c r="C623">
        <v>119.91783971561</v>
      </c>
      <c r="D623">
        <v>3.3508587541887902</v>
      </c>
      <c r="E623">
        <v>54.102259589217198</v>
      </c>
      <c r="F623">
        <v>11.668190051227199</v>
      </c>
      <c r="G623">
        <v>59.677145965866799</v>
      </c>
      <c r="H623">
        <v>41.738639037284301</v>
      </c>
      <c r="I623">
        <v>98.039491821656298</v>
      </c>
      <c r="J623">
        <v>67.026614377850805</v>
      </c>
      <c r="K623" t="s">
        <v>6</v>
      </c>
      <c r="L623">
        <v>0.4</v>
      </c>
      <c r="M623">
        <v>0</v>
      </c>
      <c r="N623">
        <f>LN(1+Table1[[#This Row],[Redness]])</f>
        <v>5.147016843366611</v>
      </c>
      <c r="O623">
        <f>LN(1+Table1[[#This Row],[Greeness]])</f>
        <v>4.7951113043498328</v>
      </c>
      <c r="P623">
        <f>LN(1+Table1[[#This Row],[Blueness]])</f>
        <v>1.4703732403729077</v>
      </c>
      <c r="Q623">
        <f>LN(1+Table1[[#This Row],[L* lab]])</f>
        <v>4.0091907241967428</v>
      </c>
      <c r="R623">
        <f>LN(1+Table1[[#This Row],[a* lab]]+128)</f>
        <v>4.9464038550573219</v>
      </c>
      <c r="S623">
        <f>LN(1+Table1[[#This Row],[b* lab]]+128)</f>
        <v>5.2400373319812559</v>
      </c>
      <c r="T623">
        <f>LN(1+Table1[[#This Row],[Hue]])</f>
        <v>3.7551034065502291</v>
      </c>
      <c r="U623">
        <f>LN(1+Table1[[#This Row],[Saturation]])</f>
        <v>4.595518677881687</v>
      </c>
      <c r="V623">
        <f>LN(1+Table1[[#This Row],[Value]])</f>
        <v>4.2198990165134083</v>
      </c>
    </row>
    <row r="624" spans="1:23" x14ac:dyDescent="0.3">
      <c r="A624">
        <v>50</v>
      </c>
      <c r="B624">
        <v>170.38222221908501</v>
      </c>
      <c r="C624">
        <v>119.542728688804</v>
      </c>
      <c r="D624">
        <v>3.9096018739519298</v>
      </c>
      <c r="E624">
        <v>53.944713341085297</v>
      </c>
      <c r="F624">
        <v>11.642357713101299</v>
      </c>
      <c r="G624">
        <v>59.432990105994399</v>
      </c>
      <c r="H624">
        <v>41.676448622645701</v>
      </c>
      <c r="I624">
        <v>97.705393307451502</v>
      </c>
      <c r="J624">
        <v>66.816557732974502</v>
      </c>
      <c r="K624" t="s">
        <v>6</v>
      </c>
      <c r="L624">
        <v>0.4</v>
      </c>
      <c r="M624">
        <v>0</v>
      </c>
      <c r="N624">
        <f>LN(1+Table1[[#This Row],[Redness]])</f>
        <v>5.1438962797754444</v>
      </c>
      <c r="O624">
        <f>LN(1+Table1[[#This Row],[Greeness]])</f>
        <v>4.7920042850046203</v>
      </c>
      <c r="P624">
        <f>LN(1+Table1[[#This Row],[Blueness]])</f>
        <v>1.5911928537840432</v>
      </c>
      <c r="Q624">
        <f>LN(1+Table1[[#This Row],[L* lab]])</f>
        <v>4.0063274676878127</v>
      </c>
      <c r="R624">
        <f>LN(1+Table1[[#This Row],[a* lab]]+128)</f>
        <v>4.9462201979680032</v>
      </c>
      <c r="S624">
        <f>LN(1+Table1[[#This Row],[b* lab]]+128)</f>
        <v>5.2387424535325859</v>
      </c>
      <c r="T624">
        <f>LN(1+Table1[[#This Row],[Hue]])</f>
        <v>3.7536472135676555</v>
      </c>
      <c r="U624">
        <f>LN(1+Table1[[#This Row],[Saturation]])</f>
        <v>4.5921395883857627</v>
      </c>
      <c r="V624">
        <f>LN(1+Table1[[#This Row],[Value]])</f>
        <v>4.216806379481536</v>
      </c>
    </row>
    <row r="625" spans="1:23" x14ac:dyDescent="0.3">
      <c r="A625">
        <v>50</v>
      </c>
      <c r="B625">
        <v>170.23093333019801</v>
      </c>
      <c r="C625">
        <v>119.0383732466</v>
      </c>
      <c r="D625">
        <v>3.6434744637434</v>
      </c>
      <c r="E625">
        <v>53.797434419062903</v>
      </c>
      <c r="F625">
        <v>11.853402615250801</v>
      </c>
      <c r="G625">
        <v>59.370059821315898</v>
      </c>
      <c r="H625">
        <v>41.561915729333499</v>
      </c>
      <c r="I625">
        <v>97.859687195231302</v>
      </c>
      <c r="J625">
        <v>66.757228756940705</v>
      </c>
      <c r="K625" t="s">
        <v>6</v>
      </c>
      <c r="L625">
        <v>0.4</v>
      </c>
      <c r="M625">
        <v>0</v>
      </c>
      <c r="N625">
        <f>LN(1+Table1[[#This Row],[Redness]])</f>
        <v>5.1430131327259536</v>
      </c>
      <c r="O625">
        <f>LN(1+Table1[[#This Row],[Greeness]])</f>
        <v>4.7878114687192612</v>
      </c>
      <c r="P625">
        <f>LN(1+Table1[[#This Row],[Blueness]])</f>
        <v>1.5354628928634475</v>
      </c>
      <c r="Q625">
        <f>LN(1+Table1[[#This Row],[L* lab]])</f>
        <v>4.0036433756876271</v>
      </c>
      <c r="R625">
        <f>LN(1+Table1[[#This Row],[a* lab]]+128)</f>
        <v>4.9477196517533484</v>
      </c>
      <c r="S625">
        <f>LN(1+Table1[[#This Row],[b* lab]]+128)</f>
        <v>5.2384084313675547</v>
      </c>
      <c r="T625">
        <f>LN(1+Table1[[#This Row],[Hue]])</f>
        <v>3.7509598564577069</v>
      </c>
      <c r="U625">
        <f>LN(1+Table1[[#This Row],[Saturation]])</f>
        <v>4.5937015437551683</v>
      </c>
      <c r="V625">
        <f>LN(1+Table1[[#This Row],[Value]])</f>
        <v>4.2159311515874549</v>
      </c>
    </row>
    <row r="626" spans="1:23" x14ac:dyDescent="0.3">
      <c r="A626">
        <v>100</v>
      </c>
      <c r="B626">
        <v>181.68693329999999</v>
      </c>
      <c r="C626">
        <v>120.3168618</v>
      </c>
      <c r="D626">
        <v>3.2747354479999999</v>
      </c>
      <c r="E626">
        <v>55.507735699999998</v>
      </c>
      <c r="F626">
        <v>16.317237850000001</v>
      </c>
      <c r="G626">
        <v>61.278869989999997</v>
      </c>
      <c r="H626">
        <v>39.361252579999999</v>
      </c>
      <c r="I626">
        <v>98.197594409999994</v>
      </c>
      <c r="J626">
        <v>71.249777780000002</v>
      </c>
      <c r="K626" t="s">
        <v>6</v>
      </c>
      <c r="L626">
        <v>0.8</v>
      </c>
      <c r="M626">
        <v>0</v>
      </c>
      <c r="N626">
        <f>LN(1+Table1[[#This Row],[Redness]])</f>
        <v>5.2077739408481794</v>
      </c>
      <c r="O626">
        <f>LN(1+Table1[[#This Row],[Greeness]])</f>
        <v>4.7984058153575644</v>
      </c>
      <c r="P626">
        <f>LN(1+Table1[[#This Row],[Blueness]])</f>
        <v>1.4527222169650882</v>
      </c>
      <c r="Q626">
        <f>LN(1+Table1[[#This Row],[L* lab]])</f>
        <v>4.0343775438246334</v>
      </c>
      <c r="R626">
        <f>LN(1+Table1[[#This Row],[a* lab]]+128)</f>
        <v>4.9789191998092983</v>
      </c>
      <c r="S626">
        <f>LN(1+Table1[[#This Row],[b* lab]]+128)</f>
        <v>5.2484907328771175</v>
      </c>
      <c r="T626">
        <f>LN(1+Table1[[#This Row],[Hue]])</f>
        <v>3.6978702301871769</v>
      </c>
      <c r="U626">
        <f>LN(1+Table1[[#This Row],[Saturation]])</f>
        <v>4.5971137640975996</v>
      </c>
      <c r="V626">
        <f>LN(1+Table1[[#This Row],[Value]])</f>
        <v>4.2801292512784688</v>
      </c>
      <c r="W626" t="s">
        <v>26</v>
      </c>
    </row>
    <row r="627" spans="1:23" x14ac:dyDescent="0.3">
      <c r="A627">
        <v>100</v>
      </c>
      <c r="B627">
        <v>179.5294639</v>
      </c>
      <c r="C627">
        <v>118.23515949999999</v>
      </c>
      <c r="D627">
        <v>3.6099946530000002</v>
      </c>
      <c r="E627">
        <v>54.730281929999997</v>
      </c>
      <c r="F627">
        <v>16.513912779999998</v>
      </c>
      <c r="G627">
        <v>60.566220010000002</v>
      </c>
      <c r="H627">
        <v>39.09464895</v>
      </c>
      <c r="I627">
        <v>97.989190980000004</v>
      </c>
      <c r="J627">
        <v>70.403711329999993</v>
      </c>
      <c r="K627" t="s">
        <v>6</v>
      </c>
      <c r="L627">
        <v>0.8</v>
      </c>
      <c r="M627">
        <v>0</v>
      </c>
      <c r="N627">
        <f>LN(1+Table1[[#This Row],[Redness]])</f>
        <v>5.1958939993546158</v>
      </c>
      <c r="O627">
        <f>LN(1+Table1[[#This Row],[Greeness]])</f>
        <v>4.7810976733867596</v>
      </c>
      <c r="P627">
        <f>LN(1+Table1[[#This Row],[Blueness]])</f>
        <v>1.5282266971380365</v>
      </c>
      <c r="Q627">
        <f>LN(1+Table1[[#This Row],[L* lab]])</f>
        <v>4.0205236604238435</v>
      </c>
      <c r="R627">
        <f>LN(1+Table1[[#This Row],[a* lab]]+128)</f>
        <v>4.9802717025212999</v>
      </c>
      <c r="S627">
        <f>LN(1+Table1[[#This Row],[b* lab]]+128)</f>
        <v>5.2447384094435217</v>
      </c>
      <c r="T627">
        <f>LN(1+Table1[[#This Row],[Hue]])</f>
        <v>3.6912428827648704</v>
      </c>
      <c r="U627">
        <f>LN(1+Table1[[#This Row],[Saturation]])</f>
        <v>4.5950106621535971</v>
      </c>
      <c r="V627">
        <f>LN(1+Table1[[#This Row],[Value]])</f>
        <v>4.2683498474064203</v>
      </c>
      <c r="W627" t="s">
        <v>26</v>
      </c>
    </row>
    <row r="628" spans="1:23" x14ac:dyDescent="0.3">
      <c r="A628">
        <v>100</v>
      </c>
      <c r="B628">
        <v>169.45777777465699</v>
      </c>
      <c r="C628">
        <v>111.457752728092</v>
      </c>
      <c r="D628">
        <v>3.5732093609478599</v>
      </c>
      <c r="E628">
        <v>51.797110624226903</v>
      </c>
      <c r="F628">
        <v>15.768582866305501</v>
      </c>
      <c r="G628">
        <v>57.959240948147098</v>
      </c>
      <c r="H628">
        <v>39.0215477179595</v>
      </c>
      <c r="I628">
        <v>97.891386628650594</v>
      </c>
      <c r="J628">
        <v>66.454030499865695</v>
      </c>
      <c r="K628" t="s">
        <v>6</v>
      </c>
      <c r="L628">
        <v>0.8</v>
      </c>
      <c r="M628">
        <v>0</v>
      </c>
      <c r="N628">
        <f>LN(1+Table1[[#This Row],[Redness]])</f>
        <v>5.138487628371001</v>
      </c>
      <c r="O628">
        <f>LN(1+Table1[[#This Row],[Greeness]])</f>
        <v>4.722577619809087</v>
      </c>
      <c r="P628">
        <f>LN(1+Table1[[#This Row],[Blueness]])</f>
        <v>1.5202152255977481</v>
      </c>
      <c r="Q628">
        <f>LN(1+Table1[[#This Row],[L* lab]])</f>
        <v>3.9664564661888506</v>
      </c>
      <c r="R628">
        <f>LN(1+Table1[[#This Row],[a* lab]]+128)</f>
        <v>4.975136487255055</v>
      </c>
      <c r="S628">
        <f>LN(1+Table1[[#This Row],[b* lab]]+128)</f>
        <v>5.2308906302531009</v>
      </c>
      <c r="T628">
        <f>LN(1+Table1[[#This Row],[Hue]])</f>
        <v>3.6894180020199641</v>
      </c>
      <c r="U628">
        <f>LN(1+Table1[[#This Row],[Saturation]])</f>
        <v>4.5940221431135209</v>
      </c>
      <c r="V628">
        <f>LN(1+Table1[[#This Row],[Value]])</f>
        <v>4.2114463362408436</v>
      </c>
    </row>
    <row r="629" spans="1:23" x14ac:dyDescent="0.3">
      <c r="A629">
        <v>100</v>
      </c>
      <c r="B629">
        <v>185.10111670000001</v>
      </c>
      <c r="C629">
        <v>121.5777671</v>
      </c>
      <c r="D629">
        <v>3.6946427690000001</v>
      </c>
      <c r="E629">
        <v>56.238039229999998</v>
      </c>
      <c r="F629">
        <v>17.151368210000001</v>
      </c>
      <c r="G629">
        <v>61.907013370000001</v>
      </c>
      <c r="H629">
        <v>38.989719110000003</v>
      </c>
      <c r="I629">
        <v>98.003986769999997</v>
      </c>
      <c r="J629">
        <v>72.588673200000002</v>
      </c>
      <c r="K629" t="s">
        <v>6</v>
      </c>
      <c r="L629">
        <v>0.8</v>
      </c>
      <c r="M629">
        <v>0</v>
      </c>
      <c r="N629">
        <f>LN(1+Table1[[#This Row],[Redness]])</f>
        <v>5.2262901641675477</v>
      </c>
      <c r="O629">
        <f>LN(1+Table1[[#This Row],[Greeness]])</f>
        <v>4.8087456620326439</v>
      </c>
      <c r="P629">
        <f>LN(1+Table1[[#This Row],[Blueness]])</f>
        <v>1.5464220222254863</v>
      </c>
      <c r="Q629">
        <f>LN(1+Table1[[#This Row],[L* lab]])</f>
        <v>4.0472186988604362</v>
      </c>
      <c r="R629">
        <f>LN(1+Table1[[#This Row],[a* lab]]+128)</f>
        <v>4.9846428531966369</v>
      </c>
      <c r="S629">
        <f>LN(1+Table1[[#This Row],[b* lab]]+128)</f>
        <v>5.251786468506312</v>
      </c>
      <c r="T629">
        <f>LN(1+Table1[[#This Row],[Hue]])</f>
        <v>3.6886223988280573</v>
      </c>
      <c r="U629">
        <f>LN(1+Table1[[#This Row],[Saturation]])</f>
        <v>4.5951601197277991</v>
      </c>
      <c r="V629">
        <f>LN(1+Table1[[#This Row],[Value]])</f>
        <v>4.2984911171523823</v>
      </c>
      <c r="W629" t="s">
        <v>26</v>
      </c>
    </row>
    <row r="630" spans="1:23" x14ac:dyDescent="0.3">
      <c r="A630">
        <v>100</v>
      </c>
      <c r="B630">
        <v>167.41866666358399</v>
      </c>
      <c r="C630">
        <v>109.166908798506</v>
      </c>
      <c r="D630">
        <v>2.5066719874666399</v>
      </c>
      <c r="E630">
        <v>50.9679665903111</v>
      </c>
      <c r="F630">
        <v>16.120633490192802</v>
      </c>
      <c r="G630">
        <v>57.491630374803897</v>
      </c>
      <c r="H630">
        <v>38.806238571251498</v>
      </c>
      <c r="I630">
        <v>98.502752388714399</v>
      </c>
      <c r="J630">
        <v>65.6543790837584</v>
      </c>
      <c r="K630" t="s">
        <v>6</v>
      </c>
      <c r="L630">
        <v>0.8</v>
      </c>
      <c r="M630">
        <v>0</v>
      </c>
      <c r="N630">
        <f>LN(1+Table1[[#This Row],[Redness]])</f>
        <v>5.1264529428360586</v>
      </c>
      <c r="O630">
        <f>LN(1+Table1[[#This Row],[Greeness]])</f>
        <v>4.7019965684896521</v>
      </c>
      <c r="P630">
        <f>LN(1+Table1[[#This Row],[Blueness]])</f>
        <v>1.2546674359786985</v>
      </c>
      <c r="Q630">
        <f>LN(1+Table1[[#This Row],[L* lab]])</f>
        <v>3.9506275016493646</v>
      </c>
      <c r="R630">
        <f>LN(1+Table1[[#This Row],[a* lab]]+128)</f>
        <v>4.9775653516425304</v>
      </c>
      <c r="S630">
        <f>LN(1+Table1[[#This Row],[b* lab]]+128)</f>
        <v>5.2283863607299557</v>
      </c>
      <c r="T630">
        <f>LN(1+Table1[[#This Row],[Hue]])</f>
        <v>3.684023648028099</v>
      </c>
      <c r="U630">
        <f>LN(1+Table1[[#This Row],[Saturation]])</f>
        <v>4.6001853059800899</v>
      </c>
      <c r="V630">
        <f>LN(1+Table1[[#This Row],[Value]])</f>
        <v>4.1995207471484379</v>
      </c>
    </row>
    <row r="631" spans="1:23" x14ac:dyDescent="0.3">
      <c r="A631">
        <v>100</v>
      </c>
      <c r="B631">
        <v>167.46559999691601</v>
      </c>
      <c r="C631">
        <v>109.13561991664901</v>
      </c>
      <c r="D631">
        <v>2.8690694772406302</v>
      </c>
      <c r="E631">
        <v>50.967850280388099</v>
      </c>
      <c r="F631">
        <v>16.164249110196501</v>
      </c>
      <c r="G631">
        <v>57.415952456403303</v>
      </c>
      <c r="H631">
        <v>38.737104641475597</v>
      </c>
      <c r="I631">
        <v>98.286770848882696</v>
      </c>
      <c r="J631">
        <v>65.6727843125162</v>
      </c>
      <c r="K631" t="s">
        <v>6</v>
      </c>
      <c r="L631">
        <v>0.8</v>
      </c>
      <c r="M631">
        <v>0</v>
      </c>
      <c r="N631">
        <f>LN(1+Table1[[#This Row],[Redness]])</f>
        <v>5.1267315746291127</v>
      </c>
      <c r="O631">
        <f>LN(1+Table1[[#This Row],[Greeness]])</f>
        <v>4.7017125147182321</v>
      </c>
      <c r="P631">
        <f>LN(1+Table1[[#This Row],[Blueness]])</f>
        <v>1.3530140329726592</v>
      </c>
      <c r="Q631">
        <f>LN(1+Table1[[#This Row],[L* lab]])</f>
        <v>3.9506252635388361</v>
      </c>
      <c r="R631">
        <f>LN(1+Table1[[#This Row],[a* lab]]+128)</f>
        <v>4.9778658538246709</v>
      </c>
      <c r="S631">
        <f>LN(1+Table1[[#This Row],[b* lab]]+128)</f>
        <v>5.227980480437231</v>
      </c>
      <c r="T631">
        <f>LN(1+Table1[[#This Row],[Hue]])</f>
        <v>3.6822853769323305</v>
      </c>
      <c r="U631">
        <f>LN(1+Table1[[#This Row],[Saturation]])</f>
        <v>4.5980123380962796</v>
      </c>
      <c r="V631">
        <f>LN(1+Table1[[#This Row],[Value]])</f>
        <v>4.1997968383575488</v>
      </c>
    </row>
    <row r="632" spans="1:23" x14ac:dyDescent="0.3">
      <c r="A632">
        <v>100</v>
      </c>
      <c r="B632">
        <v>167.20124444136499</v>
      </c>
      <c r="C632">
        <v>108.294731216747</v>
      </c>
      <c r="D632">
        <v>5.1472632165516599</v>
      </c>
      <c r="E632">
        <v>50.731798946484197</v>
      </c>
      <c r="F632">
        <v>16.552955536876901</v>
      </c>
      <c r="G632">
        <v>56.768844171450098</v>
      </c>
      <c r="H632">
        <v>38.190040338632897</v>
      </c>
      <c r="I632">
        <v>96.921516204171098</v>
      </c>
      <c r="J632">
        <v>65.569115467202295</v>
      </c>
      <c r="K632" t="s">
        <v>6</v>
      </c>
      <c r="L632">
        <v>0.8</v>
      </c>
      <c r="M632">
        <v>0</v>
      </c>
      <c r="N632">
        <f>LN(1+Table1[[#This Row],[Redness]])</f>
        <v>5.1251611460927204</v>
      </c>
      <c r="O632">
        <f>LN(1+Table1[[#This Row],[Greeness]])</f>
        <v>4.6940481892332944</v>
      </c>
      <c r="P632">
        <f>LN(1+Table1[[#This Row],[Blueness]])</f>
        <v>1.8160069773353671</v>
      </c>
      <c r="Q632">
        <f>LN(1+Table1[[#This Row],[L* lab]])</f>
        <v>3.9460726591015463</v>
      </c>
      <c r="R632">
        <f>LN(1+Table1[[#This Row],[a* lab]]+128)</f>
        <v>4.9805399759756908</v>
      </c>
      <c r="S632">
        <f>LN(1+Table1[[#This Row],[b* lab]]+128)</f>
        <v>5.2245031275583127</v>
      </c>
      <c r="T632">
        <f>LN(1+Table1[[#This Row],[Hue]])</f>
        <v>3.6684226415203467</v>
      </c>
      <c r="U632">
        <f>LN(1+Table1[[#This Row],[Saturation]])</f>
        <v>4.5841663027553627</v>
      </c>
      <c r="V632">
        <f>LN(1+Table1[[#This Row],[Value]])</f>
        <v>4.1982407382658451</v>
      </c>
    </row>
    <row r="633" spans="1:23" x14ac:dyDescent="0.3">
      <c r="A633">
        <v>100</v>
      </c>
      <c r="B633">
        <v>166.56144444137701</v>
      </c>
      <c r="C633">
        <v>107.641420252464</v>
      </c>
      <c r="D633">
        <v>4.55405419721993</v>
      </c>
      <c r="E633">
        <v>50.4868683054097</v>
      </c>
      <c r="F633">
        <v>16.623115054999801</v>
      </c>
      <c r="G633">
        <v>56.684652969674801</v>
      </c>
      <c r="H633">
        <v>38.178764277315103</v>
      </c>
      <c r="I633">
        <v>97.265841316101898</v>
      </c>
      <c r="J633">
        <v>65.318213506422595</v>
      </c>
      <c r="K633" t="s">
        <v>6</v>
      </c>
      <c r="L633">
        <v>0.8</v>
      </c>
      <c r="M633">
        <v>0</v>
      </c>
      <c r="N633">
        <f>LN(1+Table1[[#This Row],[Redness]])</f>
        <v>5.1213501164843676</v>
      </c>
      <c r="O633">
        <f>LN(1+Table1[[#This Row],[Greeness]])</f>
        <v>4.6880527367409881</v>
      </c>
      <c r="P633">
        <f>LN(1+Table1[[#This Row],[Blueness]])</f>
        <v>1.7145281470688889</v>
      </c>
      <c r="Q633">
        <f>LN(1+Table1[[#This Row],[L* lab]])</f>
        <v>3.9413267907946743</v>
      </c>
      <c r="R633">
        <f>LN(1+Table1[[#This Row],[a* lab]]+128)</f>
        <v>4.981021880407865</v>
      </c>
      <c r="S633">
        <f>LN(1+Table1[[#This Row],[b* lab]]+128)</f>
        <v>5.2240498207305945</v>
      </c>
      <c r="T633">
        <f>LN(1+Table1[[#This Row],[Hue]])</f>
        <v>3.6681348723894822</v>
      </c>
      <c r="U633">
        <f>LN(1+Table1[[#This Row],[Saturation]])</f>
        <v>4.5876764725219275</v>
      </c>
      <c r="V633">
        <f>LN(1+Table1[[#This Row],[Value]])</f>
        <v>4.1944645729856695</v>
      </c>
    </row>
    <row r="634" spans="1:23" x14ac:dyDescent="0.3">
      <c r="A634">
        <v>100</v>
      </c>
      <c r="B634">
        <v>165.78951110805801</v>
      </c>
      <c r="C634">
        <v>106.775442669312</v>
      </c>
      <c r="D634">
        <v>3.7515831687087</v>
      </c>
      <c r="E634">
        <v>50.171518267293301</v>
      </c>
      <c r="F634">
        <v>16.7511942714135</v>
      </c>
      <c r="G634">
        <v>56.588884363183404</v>
      </c>
      <c r="H634">
        <v>38.148053660312698</v>
      </c>
      <c r="I634">
        <v>97.737140821735395</v>
      </c>
      <c r="J634">
        <v>65.015494552179803</v>
      </c>
      <c r="K634" t="s">
        <v>6</v>
      </c>
      <c r="L634">
        <v>0.8</v>
      </c>
      <c r="M634">
        <v>0</v>
      </c>
      <c r="N634">
        <f>LN(1+Table1[[#This Row],[Redness]])</f>
        <v>5.116732604902209</v>
      </c>
      <c r="O634">
        <f>LN(1+Table1[[#This Row],[Greeness]])</f>
        <v>4.6800498279716622</v>
      </c>
      <c r="P634">
        <f>LN(1+Table1[[#This Row],[Blueness]])</f>
        <v>1.5584778611904009</v>
      </c>
      <c r="Q634">
        <f>LN(1+Table1[[#This Row],[L* lab]])</f>
        <v>3.9351830934202732</v>
      </c>
      <c r="R634">
        <f>LN(1+Table1[[#This Row],[a* lab]]+128)</f>
        <v>4.9819010191689941</v>
      </c>
      <c r="S634">
        <f>LN(1+Table1[[#This Row],[b* lab]]+128)</f>
        <v>5.2235339282740334</v>
      </c>
      <c r="T634">
        <f>LN(1+Table1[[#This Row],[Hue]])</f>
        <v>3.6673507062664421</v>
      </c>
      <c r="U634">
        <f>LN(1+Table1[[#This Row],[Saturation]])</f>
        <v>4.5924611757752025</v>
      </c>
      <c r="V634">
        <f>LN(1+Table1[[#This Row],[Value]])</f>
        <v>4.1898894804153324</v>
      </c>
    </row>
    <row r="635" spans="1:23" x14ac:dyDescent="0.3">
      <c r="A635">
        <v>100</v>
      </c>
      <c r="B635">
        <v>166.74382221915201</v>
      </c>
      <c r="C635">
        <v>107.743798007233</v>
      </c>
      <c r="D635">
        <v>4.7645161796919604</v>
      </c>
      <c r="E635">
        <v>50.5360744849133</v>
      </c>
      <c r="F635">
        <v>16.651074550180901</v>
      </c>
      <c r="G635">
        <v>56.6845392002067</v>
      </c>
      <c r="H635">
        <v>38.145347456589803</v>
      </c>
      <c r="I635">
        <v>97.142613071787395</v>
      </c>
      <c r="J635">
        <v>65.389734203589001</v>
      </c>
      <c r="K635" t="s">
        <v>6</v>
      </c>
      <c r="L635">
        <v>0.8</v>
      </c>
      <c r="M635">
        <v>0</v>
      </c>
      <c r="N635">
        <f>LN(1+Table1[[#This Row],[Redness]])</f>
        <v>5.1224379478660609</v>
      </c>
      <c r="O635">
        <f>LN(1+Table1[[#This Row],[Greeness]])</f>
        <v>4.688994638523984</v>
      </c>
      <c r="P635">
        <f>LN(1+Table1[[#This Row],[Blueness]])</f>
        <v>1.751721226468433</v>
      </c>
      <c r="Q635">
        <f>LN(1+Table1[[#This Row],[L* lab]])</f>
        <v>3.9422820378864887</v>
      </c>
      <c r="R635">
        <f>LN(1+Table1[[#This Row],[a* lab]]+128)</f>
        <v>4.9812138609970473</v>
      </c>
      <c r="S635">
        <f>LN(1+Table1[[#This Row],[b* lab]]+128)</f>
        <v>5.2240492080278154</v>
      </c>
      <c r="T635">
        <f>LN(1+Table1[[#This Row],[Hue]])</f>
        <v>3.6672815764627713</v>
      </c>
      <c r="U635">
        <f>LN(1+Table1[[#This Row],[Saturation]])</f>
        <v>4.5864216562680369</v>
      </c>
      <c r="V635">
        <f>LN(1+Table1[[#This Row],[Value]])</f>
        <v>4.1955424391621108</v>
      </c>
    </row>
    <row r="636" spans="1:23" x14ac:dyDescent="0.3">
      <c r="A636">
        <v>100</v>
      </c>
      <c r="B636">
        <v>164.458311108083</v>
      </c>
      <c r="C636">
        <v>105.49259851318099</v>
      </c>
      <c r="D636">
        <v>2.59098677756214</v>
      </c>
      <c r="E636">
        <v>49.680712223627403</v>
      </c>
      <c r="F636">
        <v>16.854281747346899</v>
      </c>
      <c r="G636">
        <v>56.421388878794303</v>
      </c>
      <c r="H636">
        <v>38.142946574752401</v>
      </c>
      <c r="I636">
        <v>98.4245327827431</v>
      </c>
      <c r="J636">
        <v>64.493455336503104</v>
      </c>
      <c r="K636" t="s">
        <v>6</v>
      </c>
      <c r="L636">
        <v>0.8</v>
      </c>
      <c r="M636">
        <v>0</v>
      </c>
      <c r="N636">
        <f>LN(1+Table1[[#This Row],[Redness]])</f>
        <v>5.1087192664579355</v>
      </c>
      <c r="O636">
        <f>LN(1+Table1[[#This Row],[Greeness]])</f>
        <v>4.6680754852055975</v>
      </c>
      <c r="P636">
        <f>LN(1+Table1[[#This Row],[Blueness]])</f>
        <v>1.2784270331324996</v>
      </c>
      <c r="Q636">
        <f>LN(1+Table1[[#This Row],[L* lab]])</f>
        <v>3.9255454087012196</v>
      </c>
      <c r="R636">
        <f>LN(1+Table1[[#This Row],[a* lab]]+128)</f>
        <v>4.982608053080944</v>
      </c>
      <c r="S636">
        <f>LN(1+Table1[[#This Row],[b* lab]]+128)</f>
        <v>5.2226310125983844</v>
      </c>
      <c r="T636">
        <f>LN(1+Table1[[#This Row],[Hue]])</f>
        <v>3.6672202420865951</v>
      </c>
      <c r="U636">
        <f>LN(1+Table1[[#This Row],[Saturation]])</f>
        <v>4.599398891889785</v>
      </c>
      <c r="V636">
        <f>LN(1+Table1[[#This Row],[Value]])</f>
        <v>4.1819502191223474</v>
      </c>
    </row>
    <row r="637" spans="1:23" x14ac:dyDescent="0.3">
      <c r="A637">
        <v>100</v>
      </c>
      <c r="B637">
        <v>168.001066663573</v>
      </c>
      <c r="C637">
        <v>109.00477550161099</v>
      </c>
      <c r="D637">
        <v>6.6119417287147204</v>
      </c>
      <c r="E637">
        <v>51.012927388119103</v>
      </c>
      <c r="F637">
        <v>16.536179891249201</v>
      </c>
      <c r="G637">
        <v>56.715573551912598</v>
      </c>
      <c r="H637">
        <v>38.0668153994487</v>
      </c>
      <c r="I637">
        <v>96.064345387785295</v>
      </c>
      <c r="J637">
        <v>65.882771240617004</v>
      </c>
      <c r="K637" t="s">
        <v>6</v>
      </c>
      <c r="L637">
        <v>0.8</v>
      </c>
      <c r="M637">
        <v>0</v>
      </c>
      <c r="N637">
        <f>LN(1+Table1[[#This Row],[Redness]])</f>
        <v>5.1299050265219304</v>
      </c>
      <c r="O637">
        <f>LN(1+Table1[[#This Row],[Greeness]])</f>
        <v>4.7005237785010801</v>
      </c>
      <c r="P637">
        <f>LN(1+Table1[[#This Row],[Blueness]])</f>
        <v>2.0297182942173606</v>
      </c>
      <c r="Q637">
        <f>LN(1+Table1[[#This Row],[L* lab]])</f>
        <v>3.9514922913023436</v>
      </c>
      <c r="R637">
        <f>LN(1+Table1[[#This Row],[a* lab]]+128)</f>
        <v>4.9804247147473966</v>
      </c>
      <c r="S637">
        <f>LN(1+Table1[[#This Row],[b* lab]]+128)</f>
        <v>5.2242163288805701</v>
      </c>
      <c r="T637">
        <f>LN(1+Table1[[#This Row],[Hue]])</f>
        <v>3.6652733956206789</v>
      </c>
      <c r="U637">
        <f>LN(1+Table1[[#This Row],[Saturation]])</f>
        <v>4.5753741130942807</v>
      </c>
      <c r="V637">
        <f>LN(1+Table1[[#This Row],[Value]])</f>
        <v>4.2029414039320088</v>
      </c>
    </row>
    <row r="638" spans="1:23" x14ac:dyDescent="0.3">
      <c r="A638">
        <v>100</v>
      </c>
      <c r="B638">
        <v>165.61386666361699</v>
      </c>
      <c r="C638">
        <v>106.613842705631</v>
      </c>
      <c r="D638">
        <v>4.3463921524304601</v>
      </c>
      <c r="E638">
        <v>50.110631223826402</v>
      </c>
      <c r="F638">
        <v>16.771066374491099</v>
      </c>
      <c r="G638">
        <v>56.414945895643498</v>
      </c>
      <c r="H638">
        <v>38.048881535417003</v>
      </c>
      <c r="I638">
        <v>97.3755868152885</v>
      </c>
      <c r="J638">
        <v>64.946614377889105</v>
      </c>
      <c r="K638" t="s">
        <v>6</v>
      </c>
      <c r="L638">
        <v>0.8</v>
      </c>
      <c r="M638">
        <v>0</v>
      </c>
      <c r="N638">
        <f>LN(1+Table1[[#This Row],[Redness]])</f>
        <v>5.1156789595440575</v>
      </c>
      <c r="O638">
        <f>LN(1+Table1[[#This Row],[Greeness]])</f>
        <v>4.6785492891336089</v>
      </c>
      <c r="P638">
        <f>LN(1+Table1[[#This Row],[Blueness]])</f>
        <v>1.676421969390524</v>
      </c>
      <c r="Q638">
        <f>LN(1+Table1[[#This Row],[L* lab]])</f>
        <v>3.9339925230037949</v>
      </c>
      <c r="R638">
        <f>LN(1+Table1[[#This Row],[a* lab]]+128)</f>
        <v>4.9820373525183879</v>
      </c>
      <c r="S638">
        <f>LN(1+Table1[[#This Row],[b* lab]]+128)</f>
        <v>5.2225962642064543</v>
      </c>
      <c r="T638">
        <f>LN(1+Table1[[#This Row],[Hue]])</f>
        <v>3.6648142340167897</v>
      </c>
      <c r="U638">
        <f>LN(1+Table1[[#This Row],[Saturation]])</f>
        <v>4.5887926718053009</v>
      </c>
      <c r="V638">
        <f>LN(1+Table1[[#This Row],[Value]])</f>
        <v>4.1888455416498083</v>
      </c>
    </row>
    <row r="639" spans="1:23" x14ac:dyDescent="0.3">
      <c r="A639">
        <v>100</v>
      </c>
      <c r="B639">
        <v>166.01742221916501</v>
      </c>
      <c r="C639">
        <v>107.017398170489</v>
      </c>
      <c r="D639">
        <v>5.0173105533169</v>
      </c>
      <c r="E639">
        <v>50.264194620572503</v>
      </c>
      <c r="F639">
        <v>16.735946613004501</v>
      </c>
      <c r="G639">
        <v>56.401826051801798</v>
      </c>
      <c r="H639">
        <v>38.012428648076003</v>
      </c>
      <c r="I639">
        <v>96.977840948106405</v>
      </c>
      <c r="J639">
        <v>65.104871458496206</v>
      </c>
      <c r="K639" t="s">
        <v>6</v>
      </c>
      <c r="L639">
        <v>0.8</v>
      </c>
      <c r="M639">
        <v>0</v>
      </c>
      <c r="N639">
        <f>LN(1+Table1[[#This Row],[Redness]])</f>
        <v>5.1180981316409744</v>
      </c>
      <c r="O639">
        <f>LN(1+Table1[[#This Row],[Greeness]])</f>
        <v>4.6822923083211414</v>
      </c>
      <c r="P639">
        <f>LN(1+Table1[[#This Row],[Blueness]])</f>
        <v>1.7946404075566351</v>
      </c>
      <c r="Q639">
        <f>LN(1+Table1[[#This Row],[L* lab]])</f>
        <v>3.9369925478761973</v>
      </c>
      <c r="R639">
        <f>LN(1+Table1[[#This Row],[a* lab]]+128)</f>
        <v>4.9817963994017092</v>
      </c>
      <c r="S639">
        <f>LN(1+Table1[[#This Row],[b* lab]]+128)</f>
        <v>5.2225255023378452</v>
      </c>
      <c r="T639">
        <f>LN(1+Table1[[#This Row],[Hue]])</f>
        <v>3.6638802786449145</v>
      </c>
      <c r="U639">
        <f>LN(1+Table1[[#This Row],[Saturation]])</f>
        <v>4.5847413403288</v>
      </c>
      <c r="V639">
        <f>LN(1+Table1[[#This Row],[Value]])</f>
        <v>4.1912424424551578</v>
      </c>
    </row>
    <row r="640" spans="1:23" x14ac:dyDescent="0.3">
      <c r="A640">
        <v>100</v>
      </c>
      <c r="B640">
        <v>165.03128888584999</v>
      </c>
      <c r="C640">
        <v>106.031265058785</v>
      </c>
      <c r="D640">
        <v>4.0311991675943002</v>
      </c>
      <c r="E640">
        <v>49.891259714599997</v>
      </c>
      <c r="F640">
        <v>16.831400222802198</v>
      </c>
      <c r="G640">
        <v>56.293775941690498</v>
      </c>
      <c r="H640">
        <v>38.012425733310003</v>
      </c>
      <c r="I640">
        <v>97.5573121952755</v>
      </c>
      <c r="J640">
        <v>64.718152504255002</v>
      </c>
      <c r="K640" t="s">
        <v>6</v>
      </c>
      <c r="L640">
        <v>0.8</v>
      </c>
      <c r="M640">
        <v>0</v>
      </c>
      <c r="N640">
        <f>LN(1+Table1[[#This Row],[Redness]])</f>
        <v>5.1121762578592076</v>
      </c>
      <c r="O640">
        <f>LN(1+Table1[[#This Row],[Greeness]])</f>
        <v>4.6731209885918066</v>
      </c>
      <c r="P640">
        <f>LN(1+Table1[[#This Row],[Blueness]])</f>
        <v>1.615658358798403</v>
      </c>
      <c r="Q640">
        <f>LN(1+Table1[[#This Row],[L* lab]])</f>
        <v>3.9296911939709314</v>
      </c>
      <c r="R640">
        <f>LN(1+Table1[[#This Row],[a* lab]]+128)</f>
        <v>4.9824511614266322</v>
      </c>
      <c r="S640">
        <f>LN(1+Table1[[#This Row],[b* lab]]+128)</f>
        <v>5.2219425436375522</v>
      </c>
      <c r="T640">
        <f>LN(1+Table1[[#This Row],[Hue]])</f>
        <v>3.6638802039311322</v>
      </c>
      <c r="U640">
        <f>LN(1+Table1[[#This Row],[Saturation]])</f>
        <v>4.5906382286673688</v>
      </c>
      <c r="V640">
        <f>LN(1+Table1[[#This Row],[Value]])</f>
        <v>4.1853751811527324</v>
      </c>
    </row>
    <row r="641" spans="1:23" x14ac:dyDescent="0.3">
      <c r="A641">
        <v>100</v>
      </c>
      <c r="B641">
        <v>165.53511110806301</v>
      </c>
      <c r="C641">
        <v>106.535087167775</v>
      </c>
      <c r="D641">
        <v>4.5352768373647097</v>
      </c>
      <c r="E641">
        <v>50.0818633892289</v>
      </c>
      <c r="F641">
        <v>16.782630890473399</v>
      </c>
      <c r="G641">
        <v>56.348055421696301</v>
      </c>
      <c r="H641">
        <v>38.012390804916897</v>
      </c>
      <c r="I641">
        <v>97.260232704103402</v>
      </c>
      <c r="J641">
        <v>64.9157298462992</v>
      </c>
      <c r="K641" t="s">
        <v>6</v>
      </c>
      <c r="L641">
        <v>0.8</v>
      </c>
      <c r="M641">
        <v>0</v>
      </c>
      <c r="N641">
        <f>LN(1+Table1[[#This Row],[Redness]])</f>
        <v>5.1152061647148628</v>
      </c>
      <c r="O641">
        <f>LN(1+Table1[[#This Row],[Greeness]])</f>
        <v>4.6778171865717244</v>
      </c>
      <c r="P641">
        <f>LN(1+Table1[[#This Row],[Blueness]])</f>
        <v>1.7111415806939012</v>
      </c>
      <c r="Q641">
        <f>LN(1+Table1[[#This Row],[L* lab]])</f>
        <v>3.9334295103194221</v>
      </c>
      <c r="R641">
        <f>LN(1+Table1[[#This Row],[a* lab]]+128)</f>
        <v>4.9821166827830821</v>
      </c>
      <c r="S641">
        <f>LN(1+Table1[[#This Row],[b* lab]]+128)</f>
        <v>5.2222354381561997</v>
      </c>
      <c r="T641">
        <f>LN(1+Table1[[#This Row],[Hue]])</f>
        <v>3.663879308616163</v>
      </c>
      <c r="U641">
        <f>LN(1+Table1[[#This Row],[Saturation]])</f>
        <v>4.5876193949862571</v>
      </c>
      <c r="V641">
        <f>LN(1+Table1[[#This Row],[Value]])</f>
        <v>4.18837710568598</v>
      </c>
    </row>
    <row r="642" spans="1:23" x14ac:dyDescent="0.3">
      <c r="A642">
        <v>200</v>
      </c>
      <c r="B642">
        <v>188.11201109999999</v>
      </c>
      <c r="C642">
        <v>123.1135834</v>
      </c>
      <c r="D642">
        <v>12.985322099999999</v>
      </c>
      <c r="E642">
        <v>57.006350070000003</v>
      </c>
      <c r="F642">
        <v>17.76434665</v>
      </c>
      <c r="G642">
        <v>60.928443100000003</v>
      </c>
      <c r="H642">
        <v>37.730946199999998</v>
      </c>
      <c r="I642">
        <v>93.097026589999999</v>
      </c>
      <c r="J642">
        <v>73.769416120000002</v>
      </c>
      <c r="K642" t="s">
        <v>6</v>
      </c>
      <c r="L642" s="3">
        <v>1.6</v>
      </c>
      <c r="M642">
        <v>0</v>
      </c>
      <c r="N642">
        <f>LN(1+Table1[[#This Row],[Redness]])</f>
        <v>5.2423394908339542</v>
      </c>
      <c r="O642">
        <f>LN(1+Table1[[#This Row],[Greeness]])</f>
        <v>4.8211971414987715</v>
      </c>
      <c r="P642">
        <f>LN(1+Table1[[#This Row],[Blueness]])</f>
        <v>2.6380083582085017</v>
      </c>
      <c r="Q642">
        <f>LN(1+Table1[[#This Row],[L* lab]])</f>
        <v>4.0605524885190043</v>
      </c>
      <c r="R642">
        <f>LN(1+Table1[[#This Row],[a* lab]]+128)</f>
        <v>4.9888282164510569</v>
      </c>
      <c r="S642">
        <f>LN(1+Table1[[#This Row],[b* lab]]+128)</f>
        <v>5.2466473859599887</v>
      </c>
      <c r="T642">
        <f>LN(1+Table1[[#This Row],[Hue]])</f>
        <v>3.6566389239021331</v>
      </c>
      <c r="U642">
        <f>LN(1+Table1[[#This Row],[Saturation]])</f>
        <v>4.5443264476861422</v>
      </c>
      <c r="V642">
        <f>LN(1+Table1[[#This Row],[Value]])</f>
        <v>4.3144089259670233</v>
      </c>
      <c r="W642" t="s">
        <v>26</v>
      </c>
    </row>
    <row r="643" spans="1:23" x14ac:dyDescent="0.3">
      <c r="A643">
        <v>200</v>
      </c>
      <c r="B643">
        <v>184.54242500000001</v>
      </c>
      <c r="C643">
        <v>118.2479984</v>
      </c>
      <c r="D643">
        <v>9.8715025149999995</v>
      </c>
      <c r="E643">
        <v>55.375434749999997</v>
      </c>
      <c r="F643">
        <v>18.825913270000001</v>
      </c>
      <c r="G643">
        <v>60.160067310000002</v>
      </c>
      <c r="H643">
        <v>37.227660229999998</v>
      </c>
      <c r="I643">
        <v>94.650822149999996</v>
      </c>
      <c r="J643">
        <v>72.369578430000004</v>
      </c>
      <c r="K643" t="s">
        <v>6</v>
      </c>
      <c r="L643" s="3">
        <v>1.6</v>
      </c>
      <c r="M643">
        <v>0</v>
      </c>
      <c r="N643">
        <f>LN(1+Table1[[#This Row],[Redness]])</f>
        <v>5.2232835620976745</v>
      </c>
      <c r="O643">
        <f>LN(1+Table1[[#This Row],[Greeness]])</f>
        <v>4.781205344721922</v>
      </c>
      <c r="P643">
        <f>LN(1+Table1[[#This Row],[Blueness]])</f>
        <v>2.3861449174317713</v>
      </c>
      <c r="Q643">
        <f>LN(1+Table1[[#This Row],[L* lab]])</f>
        <v>4.0320335095447701</v>
      </c>
      <c r="R643">
        <f>LN(1+Table1[[#This Row],[a* lab]]+128)</f>
        <v>4.996035319736178</v>
      </c>
      <c r="S643">
        <f>LN(1+Table1[[#This Row],[b* lab]]+128)</f>
        <v>5.2425935736119404</v>
      </c>
      <c r="T643">
        <f>LN(1+Table1[[#This Row],[Hue]])</f>
        <v>3.6435593433765723</v>
      </c>
      <c r="U643">
        <f>LN(1+Table1[[#This Row],[Saturation]])</f>
        <v>4.5607042912492171</v>
      </c>
      <c r="V643">
        <f>LN(1+Table1[[#This Row],[Value]])</f>
        <v>4.2955093869004823</v>
      </c>
      <c r="W643" t="s">
        <v>26</v>
      </c>
    </row>
    <row r="644" spans="1:23" x14ac:dyDescent="0.3">
      <c r="A644">
        <v>200</v>
      </c>
      <c r="B644">
        <v>184.43878889999999</v>
      </c>
      <c r="C644">
        <v>118.9971621</v>
      </c>
      <c r="D644">
        <v>12.03057113</v>
      </c>
      <c r="E644">
        <v>55.54881176</v>
      </c>
      <c r="F644">
        <v>18.397467679999998</v>
      </c>
      <c r="G644">
        <v>59.859297009999999</v>
      </c>
      <c r="H644">
        <v>37.225577440000002</v>
      </c>
      <c r="I644">
        <v>93.477201190000002</v>
      </c>
      <c r="J644">
        <v>72.328936819999996</v>
      </c>
      <c r="K644" t="s">
        <v>6</v>
      </c>
      <c r="L644" s="3">
        <v>1.6</v>
      </c>
      <c r="M644">
        <v>0</v>
      </c>
      <c r="N644">
        <f>LN(1+Table1[[#This Row],[Redness]])</f>
        <v>5.222724848616707</v>
      </c>
      <c r="O644">
        <f>LN(1+Table1[[#This Row],[Greeness]])</f>
        <v>4.7874680933357334</v>
      </c>
      <c r="P644">
        <f>LN(1+Table1[[#This Row],[Blueness]])</f>
        <v>2.5672982221024867</v>
      </c>
      <c r="Q644">
        <f>LN(1+Table1[[#This Row],[L* lab]])</f>
        <v>4.0351041901397782</v>
      </c>
      <c r="R644">
        <f>LN(1+Table1[[#This Row],[a* lab]]+128)</f>
        <v>4.9931327996890706</v>
      </c>
      <c r="S644">
        <f>LN(1+Table1[[#This Row],[b* lab]]+128)</f>
        <v>5.2410022775469409</v>
      </c>
      <c r="T644">
        <f>LN(1+Table1[[#This Row],[Hue]])</f>
        <v>3.6435048580450422</v>
      </c>
      <c r="U644">
        <f>LN(1+Table1[[#This Row],[Saturation]])</f>
        <v>4.548358548143808</v>
      </c>
      <c r="V644">
        <f>LN(1+Table1[[#This Row],[Value]])</f>
        <v>4.2949553034324861</v>
      </c>
      <c r="W644" t="s">
        <v>26</v>
      </c>
    </row>
    <row r="645" spans="1:23" x14ac:dyDescent="0.3">
      <c r="A645">
        <v>200</v>
      </c>
      <c r="B645">
        <v>184.78520560000001</v>
      </c>
      <c r="C645">
        <v>118.9115788</v>
      </c>
      <c r="D645">
        <v>11.581036689999999</v>
      </c>
      <c r="E645">
        <v>55.571499340000003</v>
      </c>
      <c r="F645">
        <v>18.588033119999999</v>
      </c>
      <c r="G645">
        <v>59.992922129999997</v>
      </c>
      <c r="H645">
        <v>37.18058619</v>
      </c>
      <c r="I645">
        <v>93.732703520000001</v>
      </c>
      <c r="J645">
        <v>72.464786489999995</v>
      </c>
      <c r="K645" t="s">
        <v>6</v>
      </c>
      <c r="L645" s="3">
        <v>1.6</v>
      </c>
      <c r="M645">
        <v>0</v>
      </c>
      <c r="N645">
        <f>LN(1+Table1[[#This Row],[Redness]])</f>
        <v>5.2245911978058075</v>
      </c>
      <c r="O645">
        <f>LN(1+Table1[[#This Row],[Greeness]])</f>
        <v>4.7867546278462365</v>
      </c>
      <c r="P645">
        <f>LN(1+Table1[[#This Row],[Blueness]])</f>
        <v>2.5321906556671019</v>
      </c>
      <c r="Q645">
        <f>LN(1+Table1[[#This Row],[L* lab]])</f>
        <v>4.035505313157981</v>
      </c>
      <c r="R645">
        <f>LN(1+Table1[[#This Row],[a* lab]]+128)</f>
        <v>4.9944248324567369</v>
      </c>
      <c r="S645">
        <f>LN(1+Table1[[#This Row],[b* lab]]+128)</f>
        <v>5.2417095653107904</v>
      </c>
      <c r="T645">
        <f>LN(1+Table1[[#This Row],[Hue]])</f>
        <v>3.6423271715060892</v>
      </c>
      <c r="U645">
        <f>LN(1+Table1[[#This Row],[Saturation]])</f>
        <v>4.5510592786969291</v>
      </c>
      <c r="V645">
        <f>LN(1+Table1[[#This Row],[Value]])</f>
        <v>4.2968061960417829</v>
      </c>
      <c r="W645" t="s">
        <v>26</v>
      </c>
    </row>
    <row r="646" spans="1:23" x14ac:dyDescent="0.3">
      <c r="A646">
        <v>200</v>
      </c>
      <c r="B646">
        <v>166.637155552487</v>
      </c>
      <c r="C646">
        <v>108.515531167123</v>
      </c>
      <c r="D646">
        <v>21.888935046196501</v>
      </c>
      <c r="E646">
        <v>50.769444248147003</v>
      </c>
      <c r="F646">
        <v>16.4869912993843</v>
      </c>
      <c r="G646">
        <v>52.724498976594901</v>
      </c>
      <c r="H646">
        <v>35.907838791218197</v>
      </c>
      <c r="I646">
        <v>86.8643130797429</v>
      </c>
      <c r="J646">
        <v>65.347904138230305</v>
      </c>
      <c r="K646" t="s">
        <v>6</v>
      </c>
      <c r="L646">
        <v>1.6</v>
      </c>
      <c r="M646">
        <v>0</v>
      </c>
      <c r="N646">
        <f>LN(1+Table1[[#This Row],[Redness]])</f>
        <v>5.1218018553185924</v>
      </c>
      <c r="O646">
        <f>LN(1+Table1[[#This Row],[Greeness]])</f>
        <v>4.6960663763412951</v>
      </c>
      <c r="P646">
        <f>LN(1+Table1[[#This Row],[Blueness]])</f>
        <v>3.1306536080327287</v>
      </c>
      <c r="Q646">
        <f>LN(1+Table1[[#This Row],[L* lab]])</f>
        <v>3.9468000958387468</v>
      </c>
      <c r="R646">
        <f>LN(1+Table1[[#This Row],[a* lab]]+128)</f>
        <v>4.9800866757374305</v>
      </c>
      <c r="S646">
        <f>LN(1+Table1[[#This Row],[b* lab]]+128)</f>
        <v>5.2024917983251866</v>
      </c>
      <c r="T646">
        <f>LN(1+Table1[[#This Row],[Hue]])</f>
        <v>3.6084239618520559</v>
      </c>
      <c r="U646">
        <f>LN(1+Table1[[#This Row],[Saturation]])</f>
        <v>4.475793727710859</v>
      </c>
      <c r="V646">
        <f>LN(1+Table1[[#This Row],[Value]])</f>
        <v>4.1949121723099063</v>
      </c>
    </row>
    <row r="647" spans="1:23" x14ac:dyDescent="0.3">
      <c r="A647">
        <v>200</v>
      </c>
      <c r="B647">
        <v>163.60015555254299</v>
      </c>
      <c r="C647">
        <v>105.959065075011</v>
      </c>
      <c r="D647">
        <v>20.955422489796099</v>
      </c>
      <c r="E647">
        <v>49.743857874682099</v>
      </c>
      <c r="F647">
        <v>16.540941711830001</v>
      </c>
      <c r="G647">
        <v>52.005057155330199</v>
      </c>
      <c r="H647">
        <v>35.7546924138408</v>
      </c>
      <c r="I647">
        <v>87.191074226658699</v>
      </c>
      <c r="J647">
        <v>64.156923746095302</v>
      </c>
      <c r="K647" t="s">
        <v>6</v>
      </c>
      <c r="L647">
        <v>1.6</v>
      </c>
      <c r="M647">
        <v>0</v>
      </c>
      <c r="N647">
        <f>LN(1+Table1[[#This Row],[Redness]])</f>
        <v>5.1035192332761987</v>
      </c>
      <c r="O647">
        <f>LN(1+Table1[[#This Row],[Greeness]])</f>
        <v>4.6724461918711464</v>
      </c>
      <c r="P647">
        <f>LN(1+Table1[[#This Row],[Blueness]])</f>
        <v>3.0890141472717576</v>
      </c>
      <c r="Q647">
        <f>LN(1+Table1[[#This Row],[L* lab]])</f>
        <v>3.9267905834976662</v>
      </c>
      <c r="R647">
        <f>LN(1+Table1[[#This Row],[a* lab]]+128)</f>
        <v>4.9804574333654381</v>
      </c>
      <c r="S647">
        <f>LN(1+Table1[[#This Row],[b* lab]]+128)</f>
        <v>5.1985249709602064</v>
      </c>
      <c r="T647">
        <f>LN(1+Table1[[#This Row],[Hue]])</f>
        <v>3.6042659022382062</v>
      </c>
      <c r="U647">
        <f>LN(1+Table1[[#This Row],[Saturation]])</f>
        <v>4.479505758647524</v>
      </c>
      <c r="V647">
        <f>LN(1+Table1[[#This Row],[Value]])</f>
        <v>4.176798571847363</v>
      </c>
    </row>
    <row r="648" spans="1:23" x14ac:dyDescent="0.3">
      <c r="A648">
        <v>200</v>
      </c>
      <c r="B648">
        <v>167.770466663577</v>
      </c>
      <c r="C648">
        <v>107.99070906285201</v>
      </c>
      <c r="D648">
        <v>20.2615712659859</v>
      </c>
      <c r="E648">
        <v>50.776547385707701</v>
      </c>
      <c r="F648">
        <v>17.255690562361501</v>
      </c>
      <c r="G648">
        <v>53.2737139165569</v>
      </c>
      <c r="H648">
        <v>35.684276894788098</v>
      </c>
      <c r="I648">
        <v>87.923040527379797</v>
      </c>
      <c r="J648">
        <v>65.792339868069604</v>
      </c>
      <c r="K648" t="s">
        <v>6</v>
      </c>
      <c r="L648">
        <v>1.6</v>
      </c>
      <c r="M648">
        <v>0</v>
      </c>
      <c r="N648">
        <f>LN(1+Table1[[#This Row],[Redness]])</f>
        <v>5.1285396063306461</v>
      </c>
      <c r="O648">
        <f>LN(1+Table1[[#This Row],[Greeness]])</f>
        <v>4.691262640640697</v>
      </c>
      <c r="P648">
        <f>LN(1+Table1[[#This Row],[Blueness]])</f>
        <v>3.0569012773317166</v>
      </c>
      <c r="Q648">
        <f>LN(1+Table1[[#This Row],[L* lab]])</f>
        <v>3.9469372935701079</v>
      </c>
      <c r="R648">
        <f>LN(1+Table1[[#This Row],[a* lab]]+128)</f>
        <v>4.9853563951831115</v>
      </c>
      <c r="S648">
        <f>LN(1+Table1[[#This Row],[b* lab]]+128)</f>
        <v>5.2055094799361905</v>
      </c>
      <c r="T648">
        <f>LN(1+Table1[[#This Row],[Hue]])</f>
        <v>3.6023482407760534</v>
      </c>
      <c r="U648">
        <f>LN(1+Table1[[#This Row],[Saturation]])</f>
        <v>4.4877712824765306</v>
      </c>
      <c r="V648">
        <f>LN(1+Table1[[#This Row],[Value]])</f>
        <v>4.2015884013335025</v>
      </c>
    </row>
    <row r="649" spans="1:23" x14ac:dyDescent="0.3">
      <c r="A649">
        <v>200</v>
      </c>
      <c r="B649">
        <v>167.51946666358199</v>
      </c>
      <c r="C649">
        <v>108.27393122142099</v>
      </c>
      <c r="D649">
        <v>22.0085768278066</v>
      </c>
      <c r="E649">
        <v>50.8226843952189</v>
      </c>
      <c r="F649">
        <v>17.024888883479999</v>
      </c>
      <c r="G649">
        <v>52.772370461954701</v>
      </c>
      <c r="H649">
        <v>35.570679757772602</v>
      </c>
      <c r="I649">
        <v>86.862078022248596</v>
      </c>
      <c r="J649">
        <v>65.693908495522393</v>
      </c>
      <c r="K649" t="s">
        <v>6</v>
      </c>
      <c r="L649">
        <v>1.6</v>
      </c>
      <c r="M649">
        <v>0</v>
      </c>
      <c r="N649">
        <f>LN(1+Table1[[#This Row],[Redness]])</f>
        <v>5.1270512722801609</v>
      </c>
      <c r="O649">
        <f>LN(1+Table1[[#This Row],[Greeness]])</f>
        <v>4.6938578600693903</v>
      </c>
      <c r="P649">
        <f>LN(1+Table1[[#This Row],[Blueness]])</f>
        <v>3.1358670519739618</v>
      </c>
      <c r="Q649">
        <f>LN(1+Table1[[#This Row],[L* lab]])</f>
        <v>3.9478279760929058</v>
      </c>
      <c r="R649">
        <f>LN(1+Table1[[#This Row],[a* lab]]+128)</f>
        <v>4.9837770789843274</v>
      </c>
      <c r="S649">
        <f>LN(1+Table1[[#This Row],[b* lab]]+128)</f>
        <v>5.2027551925365891</v>
      </c>
      <c r="T649">
        <f>LN(1+Table1[[#This Row],[Hue]])</f>
        <v>3.5992468198412206</v>
      </c>
      <c r="U649">
        <f>LN(1+Table1[[#This Row],[Saturation]])</f>
        <v>4.4757682897845426</v>
      </c>
      <c r="V649">
        <f>LN(1+Table1[[#This Row],[Value]])</f>
        <v>4.2001136218473105</v>
      </c>
    </row>
    <row r="650" spans="1:23" x14ac:dyDescent="0.3">
      <c r="A650">
        <v>200</v>
      </c>
      <c r="B650">
        <v>166.15413333027399</v>
      </c>
      <c r="C650">
        <v>107.81366465819799</v>
      </c>
      <c r="D650">
        <v>23.047131490758002</v>
      </c>
      <c r="E650">
        <v>50.540114913394497</v>
      </c>
      <c r="F650">
        <v>16.697885872547801</v>
      </c>
      <c r="G650">
        <v>52.133837922648702</v>
      </c>
      <c r="H650">
        <v>35.539784389795003</v>
      </c>
      <c r="I650">
        <v>86.129065206613902</v>
      </c>
      <c r="J650">
        <v>65.158483658930905</v>
      </c>
      <c r="K650" t="s">
        <v>6</v>
      </c>
      <c r="L650">
        <v>1.6</v>
      </c>
      <c r="M650">
        <v>0</v>
      </c>
      <c r="N650">
        <f>LN(1+Table1[[#This Row],[Redness]])</f>
        <v>5.1189163408300313</v>
      </c>
      <c r="O650">
        <f>LN(1+Table1[[#This Row],[Greeness]])</f>
        <v>4.6896369208204485</v>
      </c>
      <c r="P650">
        <f>LN(1+Table1[[#This Row],[Blueness]])</f>
        <v>3.180015716704657</v>
      </c>
      <c r="Q650">
        <f>LN(1+Table1[[#This Row],[L* lab]])</f>
        <v>3.9423604348180565</v>
      </c>
      <c r="R650">
        <f>LN(1+Table1[[#This Row],[a* lab]]+128)</f>
        <v>4.9815352029555138</v>
      </c>
      <c r="S650">
        <f>LN(1+Table1[[#This Row],[b* lab]]+128)</f>
        <v>5.1992361940544241</v>
      </c>
      <c r="T650">
        <f>LN(1+Table1[[#This Row],[Hue]])</f>
        <v>3.5984016502700271</v>
      </c>
      <c r="U650">
        <f>LN(1+Table1[[#This Row],[Saturation]])</f>
        <v>4.4673905274654988</v>
      </c>
      <c r="V650">
        <f>LN(1+Table1[[#This Row],[Value]])</f>
        <v>4.1920531311500477</v>
      </c>
    </row>
    <row r="651" spans="1:23" x14ac:dyDescent="0.3">
      <c r="A651">
        <v>200</v>
      </c>
      <c r="B651">
        <v>165.662777774727</v>
      </c>
      <c r="C651">
        <v>107.546309162729</v>
      </c>
      <c r="D651">
        <v>23.2103500802688</v>
      </c>
      <c r="E651">
        <v>50.411698582428201</v>
      </c>
      <c r="F651">
        <v>16.632876220081201</v>
      </c>
      <c r="G651">
        <v>51.9424837243699</v>
      </c>
      <c r="H651">
        <v>35.5217361110967</v>
      </c>
      <c r="I651">
        <v>85.989399434174103</v>
      </c>
      <c r="J651">
        <v>64.965795205775507</v>
      </c>
      <c r="K651" t="s">
        <v>6</v>
      </c>
      <c r="L651">
        <v>1.6</v>
      </c>
      <c r="M651">
        <v>0</v>
      </c>
      <c r="N651">
        <f>LN(1+Table1[[#This Row],[Redness]])</f>
        <v>5.1159724761302172</v>
      </c>
      <c r="O651">
        <f>LN(1+Table1[[#This Row],[Greeness]])</f>
        <v>4.6871768944816568</v>
      </c>
      <c r="P651">
        <f>LN(1+Table1[[#This Row],[Blueness]])</f>
        <v>3.1867802309969608</v>
      </c>
      <c r="Q651">
        <f>LN(1+Table1[[#This Row],[L* lab]])</f>
        <v>3.9398657454443495</v>
      </c>
      <c r="R651">
        <f>LN(1+Table1[[#This Row],[a* lab]]+128)</f>
        <v>4.9810889084888483</v>
      </c>
      <c r="S651">
        <f>LN(1+Table1[[#This Row],[b* lab]]+128)</f>
        <v>5.1981792112877869</v>
      </c>
      <c r="T651">
        <f>LN(1+Table1[[#This Row],[Hue]])</f>
        <v>3.597907593235854</v>
      </c>
      <c r="U651">
        <f>LN(1+Table1[[#This Row],[Saturation]])</f>
        <v>4.4657862656466021</v>
      </c>
      <c r="V651">
        <f>LN(1+Table1[[#This Row],[Value]])</f>
        <v>4.1891363532282204</v>
      </c>
    </row>
    <row r="652" spans="1:23" x14ac:dyDescent="0.3">
      <c r="A652">
        <v>200</v>
      </c>
      <c r="B652">
        <v>164.010311108091</v>
      </c>
      <c r="C652">
        <v>106.010287285722</v>
      </c>
      <c r="D652">
        <v>22.009821244554399</v>
      </c>
      <c r="E652">
        <v>49.814087543673303</v>
      </c>
      <c r="F652">
        <v>16.723887418538599</v>
      </c>
      <c r="G652">
        <v>51.753641796902301</v>
      </c>
      <c r="H652">
        <v>35.493032223434902</v>
      </c>
      <c r="I652">
        <v>86.580221026439702</v>
      </c>
      <c r="J652">
        <v>64.317769061996501</v>
      </c>
      <c r="K652" t="s">
        <v>6</v>
      </c>
      <c r="L652">
        <v>1.6</v>
      </c>
      <c r="M652">
        <v>0</v>
      </c>
      <c r="N652">
        <f>LN(1+Table1[[#This Row],[Redness]])</f>
        <v>5.1060079635122522</v>
      </c>
      <c r="O652">
        <f>LN(1+Table1[[#This Row],[Greeness]])</f>
        <v>4.6729249726976931</v>
      </c>
      <c r="P652">
        <f>LN(1+Table1[[#This Row],[Blueness]])</f>
        <v>3.1359211354188545</v>
      </c>
      <c r="Q652">
        <f>LN(1+Table1[[#This Row],[L* lab]])</f>
        <v>3.9281736299918939</v>
      </c>
      <c r="R652">
        <f>LN(1+Table1[[#This Row],[a* lab]]+128)</f>
        <v>4.9817136491008807</v>
      </c>
      <c r="S652">
        <f>LN(1+Table1[[#This Row],[b* lab]]+128)</f>
        <v>5.1971350090898554</v>
      </c>
      <c r="T652">
        <f>LN(1+Table1[[#This Row],[Hue]])</f>
        <v>3.5971213443770207</v>
      </c>
      <c r="U652">
        <f>LN(1+Table1[[#This Row],[Saturation]])</f>
        <v>4.4725551850791305</v>
      </c>
      <c r="V652">
        <f>LN(1+Table1[[#This Row],[Value]])</f>
        <v>4.1792641135385464</v>
      </c>
    </row>
    <row r="653" spans="1:23" x14ac:dyDescent="0.3">
      <c r="A653">
        <v>200</v>
      </c>
      <c r="B653">
        <v>163.33937777477001</v>
      </c>
      <c r="C653">
        <v>105.339354103178</v>
      </c>
      <c r="D653">
        <v>21.338902843667899</v>
      </c>
      <c r="E653">
        <v>49.5589913562319</v>
      </c>
      <c r="F653">
        <v>16.7831561872705</v>
      </c>
      <c r="G653">
        <v>51.721894187362899</v>
      </c>
      <c r="H653">
        <v>35.493029710048603</v>
      </c>
      <c r="I653">
        <v>86.935849068133194</v>
      </c>
      <c r="J653">
        <v>64.054657950890302</v>
      </c>
      <c r="K653" t="s">
        <v>6</v>
      </c>
      <c r="L653">
        <v>1.6</v>
      </c>
      <c r="M653">
        <v>0</v>
      </c>
      <c r="N653">
        <f>LN(1+Table1[[#This Row],[Redness]])</f>
        <v>5.1019336662890469</v>
      </c>
      <c r="O653">
        <f>LN(1+Table1[[#This Row],[Greeness]])</f>
        <v>4.6666354341737701</v>
      </c>
      <c r="P653">
        <f>LN(1+Table1[[#This Row],[Blueness]])</f>
        <v>3.1063296806923253</v>
      </c>
      <c r="Q653">
        <f>LN(1+Table1[[#This Row],[L* lab]])</f>
        <v>3.9231408001979933</v>
      </c>
      <c r="R653">
        <f>LN(1+Table1[[#This Row],[a* lab]]+128)</f>
        <v>4.9821202860645393</v>
      </c>
      <c r="S653">
        <f>LN(1+Table1[[#This Row],[b* lab]]+128)</f>
        <v>5.1969593534425949</v>
      </c>
      <c r="T653">
        <f>LN(1+Table1[[#This Row],[Hue]])</f>
        <v>3.5971212755039721</v>
      </c>
      <c r="U653">
        <f>LN(1+Table1[[#This Row],[Saturation]])</f>
        <v>4.4766075607752276</v>
      </c>
      <c r="V653">
        <f>LN(1+Table1[[#This Row],[Value]])</f>
        <v>4.175227808096567</v>
      </c>
    </row>
    <row r="654" spans="1:23" x14ac:dyDescent="0.3">
      <c r="A654">
        <v>200</v>
      </c>
      <c r="B654">
        <v>164.84088888585299</v>
      </c>
      <c r="C654">
        <v>106.84086487683101</v>
      </c>
      <c r="D654">
        <v>23.0423315975879</v>
      </c>
      <c r="E654">
        <v>50.130908141895802</v>
      </c>
      <c r="F654">
        <v>16.656023215336901</v>
      </c>
      <c r="G654">
        <v>51.7272670795656</v>
      </c>
      <c r="H654">
        <v>35.458132246953802</v>
      </c>
      <c r="I654">
        <v>86.021470914571495</v>
      </c>
      <c r="J654">
        <v>64.643485837589694</v>
      </c>
      <c r="K654" t="s">
        <v>6</v>
      </c>
      <c r="L654">
        <v>1.6</v>
      </c>
      <c r="M654">
        <v>0</v>
      </c>
      <c r="N654">
        <f>LN(1+Table1[[#This Row],[Redness]])</f>
        <v>5.1110288280133833</v>
      </c>
      <c r="O654">
        <f>LN(1+Table1[[#This Row],[Greeness]])</f>
        <v>4.6806566671321246</v>
      </c>
      <c r="P654">
        <f>LN(1+Table1[[#This Row],[Blueness]])</f>
        <v>3.1798160932163588</v>
      </c>
      <c r="Q654">
        <f>LN(1+Table1[[#This Row],[L* lab]])</f>
        <v>3.9343891703637826</v>
      </c>
      <c r="R654">
        <f>LN(1+Table1[[#This Row],[a* lab]]+128)</f>
        <v>4.9812478365863448</v>
      </c>
      <c r="S654">
        <f>LN(1+Table1[[#This Row],[b* lab]]+128)</f>
        <v>5.1969890831682601</v>
      </c>
      <c r="T654">
        <f>LN(1+Table1[[#This Row],[Hue]])</f>
        <v>3.5961645404823339</v>
      </c>
      <c r="U654">
        <f>LN(1+Table1[[#This Row],[Saturation]])</f>
        <v>4.4661548803279292</v>
      </c>
      <c r="V654">
        <f>LN(1+Table1[[#This Row],[Value]])</f>
        <v>4.184238370198651</v>
      </c>
    </row>
    <row r="655" spans="1:23" x14ac:dyDescent="0.3">
      <c r="A655">
        <v>200</v>
      </c>
      <c r="B655">
        <v>165.16068888584701</v>
      </c>
      <c r="C655">
        <v>106.71053157278899</v>
      </c>
      <c r="D655">
        <v>22.904179116854198</v>
      </c>
      <c r="E655">
        <v>50.139647325524798</v>
      </c>
      <c r="F655">
        <v>16.869798003587199</v>
      </c>
      <c r="G655">
        <v>51.795898878797701</v>
      </c>
      <c r="H655">
        <v>35.347283266836499</v>
      </c>
      <c r="I655">
        <v>86.132184800534006</v>
      </c>
      <c r="J655">
        <v>64.768897602293194</v>
      </c>
      <c r="K655" t="s">
        <v>6</v>
      </c>
      <c r="L655">
        <v>1.6</v>
      </c>
      <c r="M655">
        <v>0</v>
      </c>
      <c r="N655">
        <f>LN(1+Table1[[#This Row],[Redness]])</f>
        <v>5.1129553254779374</v>
      </c>
      <c r="O655">
        <f>LN(1+Table1[[#This Row],[Greeness]])</f>
        <v>4.6794473655727549</v>
      </c>
      <c r="P655">
        <f>LN(1+Table1[[#This Row],[Blueness]])</f>
        <v>3.1740533020972914</v>
      </c>
      <c r="Q655">
        <f>LN(1+Table1[[#This Row],[L* lab]])</f>
        <v>3.9345600735843687</v>
      </c>
      <c r="R655">
        <f>LN(1+Table1[[#This Row],[a* lab]]+128)</f>
        <v>4.9827144293270749</v>
      </c>
      <c r="S655">
        <f>LN(1+Table1[[#This Row],[b* lab]]+128)</f>
        <v>5.197368764508318</v>
      </c>
      <c r="T655">
        <f>LN(1+Table1[[#This Row],[Hue]])</f>
        <v>3.5931194629976737</v>
      </c>
      <c r="U655">
        <f>LN(1+Table1[[#This Row],[Saturation]])</f>
        <v>4.4674263311099729</v>
      </c>
      <c r="V655">
        <f>LN(1+Table1[[#This Row],[Value]])</f>
        <v>4.1861470457662655</v>
      </c>
    </row>
    <row r="656" spans="1:23" x14ac:dyDescent="0.3">
      <c r="A656">
        <v>200</v>
      </c>
      <c r="B656">
        <v>163.30651110810399</v>
      </c>
      <c r="C656">
        <v>105.199820801204</v>
      </c>
      <c r="D656">
        <v>22.069753243997599</v>
      </c>
      <c r="E656">
        <v>49.5234475751475</v>
      </c>
      <c r="F656">
        <v>16.867136573933401</v>
      </c>
      <c r="G656">
        <v>51.457339603011803</v>
      </c>
      <c r="H656">
        <v>35.315197890845901</v>
      </c>
      <c r="I656">
        <v>86.485686887653699</v>
      </c>
      <c r="J656">
        <v>64.041769062001606</v>
      </c>
      <c r="K656" t="s">
        <v>6</v>
      </c>
      <c r="L656">
        <v>1.6</v>
      </c>
      <c r="M656">
        <v>0</v>
      </c>
      <c r="N656">
        <f>LN(1+Table1[[#This Row],[Redness]])</f>
        <v>5.1017336536439029</v>
      </c>
      <c r="O656">
        <f>LN(1+Table1[[#This Row],[Greeness]])</f>
        <v>4.6653224214354543</v>
      </c>
      <c r="P656">
        <f>LN(1+Table1[[#This Row],[Blueness]])</f>
        <v>3.1385223761595653</v>
      </c>
      <c r="Q656">
        <f>LN(1+Table1[[#This Row],[L* lab]])</f>
        <v>3.9224375369422768</v>
      </c>
      <c r="R656">
        <f>LN(1+Table1[[#This Row],[a* lab]]+128)</f>
        <v>4.9826961839193906</v>
      </c>
      <c r="S656">
        <f>LN(1+Table1[[#This Row],[b* lab]]+128)</f>
        <v>5.1954944041492066</v>
      </c>
      <c r="T656">
        <f>LN(1+Table1[[#This Row],[Hue]])</f>
        <v>3.5922363283299674</v>
      </c>
      <c r="U656">
        <f>LN(1+Table1[[#This Row],[Saturation]])</f>
        <v>4.4714752015563439</v>
      </c>
      <c r="V656">
        <f>LN(1+Table1[[#This Row],[Value]])</f>
        <v>4.1750296644699239</v>
      </c>
    </row>
    <row r="657" spans="1:23" x14ac:dyDescent="0.3">
      <c r="A657">
        <v>200</v>
      </c>
      <c r="B657">
        <v>164.586644441413</v>
      </c>
      <c r="C657">
        <v>105.68422069233699</v>
      </c>
      <c r="D657">
        <v>21.765537792615302</v>
      </c>
      <c r="E657">
        <v>49.806872218958802</v>
      </c>
      <c r="F657">
        <v>17.161206898673601</v>
      </c>
      <c r="G657">
        <v>51.854359308576299</v>
      </c>
      <c r="H657">
        <v>35.254739947960601</v>
      </c>
      <c r="I657">
        <v>86.775635491880394</v>
      </c>
      <c r="J657">
        <v>64.543782133887802</v>
      </c>
      <c r="K657" t="s">
        <v>6</v>
      </c>
      <c r="L657">
        <v>1.6</v>
      </c>
      <c r="M657">
        <v>0</v>
      </c>
      <c r="N657">
        <f>LN(1+Table1[[#This Row],[Redness]])</f>
        <v>5.1094945891904375</v>
      </c>
      <c r="O657">
        <f>LN(1+Table1[[#This Row],[Greeness]])</f>
        <v>4.6698732625763313</v>
      </c>
      <c r="P657">
        <f>LN(1+Table1[[#This Row],[Blueness]])</f>
        <v>3.1252478921675091</v>
      </c>
      <c r="Q657">
        <f>LN(1+Table1[[#This Row],[L* lab]])</f>
        <v>3.9280316253356995</v>
      </c>
      <c r="R657">
        <f>LN(1+Table1[[#This Row],[a* lab]]+128)</f>
        <v>4.984710169415747</v>
      </c>
      <c r="S657">
        <f>LN(1+Table1[[#This Row],[b* lab]]+128)</f>
        <v>5.197692062661516</v>
      </c>
      <c r="T657">
        <f>LN(1+Table1[[#This Row],[Hue]])</f>
        <v>3.5905701299378281</v>
      </c>
      <c r="U657">
        <f>LN(1+Table1[[#This Row],[Saturation]])</f>
        <v>4.474783962038317</v>
      </c>
      <c r="V657">
        <f>LN(1+Table1[[#This Row],[Value]])</f>
        <v>4.1827183488666968</v>
      </c>
    </row>
    <row r="658" spans="1:23" x14ac:dyDescent="0.3">
      <c r="A658">
        <v>300</v>
      </c>
      <c r="B658">
        <v>184.7546778</v>
      </c>
      <c r="C658">
        <v>110.6666529</v>
      </c>
      <c r="D658">
        <v>13.94085639</v>
      </c>
      <c r="E658">
        <v>53.615166449999997</v>
      </c>
      <c r="F658">
        <v>23.164580059999999</v>
      </c>
      <c r="G658">
        <v>58.064699439999998</v>
      </c>
      <c r="H658">
        <v>33.97586767</v>
      </c>
      <c r="I658">
        <v>92.454395980000001</v>
      </c>
      <c r="J658">
        <v>72.452814810000007</v>
      </c>
      <c r="K658" t="s">
        <v>6</v>
      </c>
      <c r="L658">
        <v>2.4</v>
      </c>
      <c r="M658">
        <v>0</v>
      </c>
      <c r="N658">
        <f>LN(1+Table1[[#This Row],[Redness]])</f>
        <v>5.224426866591676</v>
      </c>
      <c r="O658">
        <f>LN(1+Table1[[#This Row],[Greeness]])</f>
        <v>4.7155181198733667</v>
      </c>
      <c r="P658">
        <f>LN(1+Table1[[#This Row],[Blueness]])</f>
        <v>2.7040995000163153</v>
      </c>
      <c r="Q658">
        <f>LN(1+Table1[[#This Row],[L* lab]])</f>
        <v>4.0003116179883813</v>
      </c>
      <c r="R658">
        <f>LN(1+Table1[[#This Row],[a* lab]]+128)</f>
        <v>5.024962698633245</v>
      </c>
      <c r="S658">
        <f>LN(1+Table1[[#This Row],[b* lab]]+128)</f>
        <v>5.2314545433252855</v>
      </c>
      <c r="T658">
        <f>LN(1+Table1[[#This Row],[Hue]])</f>
        <v>3.5546583285354614</v>
      </c>
      <c r="U658">
        <f>LN(1+Table1[[#This Row],[Saturation]])</f>
        <v>4.5374735737796632</v>
      </c>
      <c r="V658">
        <f>LN(1+Table1[[#This Row],[Value]])</f>
        <v>4.2966432246902153</v>
      </c>
      <c r="W658" t="s">
        <v>26</v>
      </c>
    </row>
    <row r="659" spans="1:23" x14ac:dyDescent="0.3">
      <c r="A659">
        <v>300</v>
      </c>
      <c r="B659">
        <v>188.87301669999999</v>
      </c>
      <c r="C659">
        <v>112.3780581</v>
      </c>
      <c r="D659">
        <v>13.90684048</v>
      </c>
      <c r="E659">
        <v>54.562950209999997</v>
      </c>
      <c r="F659">
        <v>24.015115949999998</v>
      </c>
      <c r="G659">
        <v>59.00447904</v>
      </c>
      <c r="H659">
        <v>33.76808698</v>
      </c>
      <c r="I659">
        <v>92.636936329999997</v>
      </c>
      <c r="J659">
        <v>74.067849670000001</v>
      </c>
      <c r="K659" t="s">
        <v>6</v>
      </c>
      <c r="L659">
        <v>2.4</v>
      </c>
      <c r="M659">
        <v>0</v>
      </c>
      <c r="N659">
        <f>LN(1+Table1[[#This Row],[Redness]])</f>
        <v>5.2463555155684283</v>
      </c>
      <c r="O659">
        <f>LN(1+Table1[[#This Row],[Greeness]])</f>
        <v>4.7307278813901599</v>
      </c>
      <c r="P659">
        <f>LN(1+Table1[[#This Row],[Blueness]])</f>
        <v>2.7018202002180902</v>
      </c>
      <c r="Q659">
        <f>LN(1+Table1[[#This Row],[L* lab]])</f>
        <v>4.0175166160084501</v>
      </c>
      <c r="R659">
        <f>LN(1+Table1[[#This Row],[a* lab]]+128)</f>
        <v>5.0305367135711512</v>
      </c>
      <c r="S659">
        <f>LN(1+Table1[[#This Row],[b* lab]]+128)</f>
        <v>5.2364657872269973</v>
      </c>
      <c r="T659">
        <f>LN(1+Table1[[#This Row],[Hue]])</f>
        <v>3.5486999252366691</v>
      </c>
      <c r="U659">
        <f>LN(1+Table1[[#This Row],[Saturation]])</f>
        <v>4.5394249245522387</v>
      </c>
      <c r="V659">
        <f>LN(1+Table1[[#This Row],[Value]])</f>
        <v>4.3183923668426978</v>
      </c>
      <c r="W659" t="s">
        <v>26</v>
      </c>
    </row>
    <row r="660" spans="1:23" x14ac:dyDescent="0.3">
      <c r="A660">
        <v>300</v>
      </c>
      <c r="B660">
        <v>186.36653889999999</v>
      </c>
      <c r="C660">
        <v>111.3285583</v>
      </c>
      <c r="D660">
        <v>15.796098430000001</v>
      </c>
      <c r="E660">
        <v>53.990707059999998</v>
      </c>
      <c r="F660">
        <v>23.531455359999999</v>
      </c>
      <c r="G660">
        <v>58.01687991</v>
      </c>
      <c r="H660">
        <v>33.604577540000001</v>
      </c>
      <c r="I660">
        <v>91.524176749999995</v>
      </c>
      <c r="J660">
        <v>73.08491721</v>
      </c>
      <c r="K660" t="s">
        <v>6</v>
      </c>
      <c r="L660">
        <v>2.4</v>
      </c>
      <c r="M660">
        <v>0</v>
      </c>
      <c r="N660">
        <f>LN(1+Table1[[#This Row],[Redness]])</f>
        <v>5.233066799432553</v>
      </c>
      <c r="O660">
        <f>LN(1+Table1[[#This Row],[Greeness]])</f>
        <v>4.7214281330656398</v>
      </c>
      <c r="P660">
        <f>LN(1+Table1[[#This Row],[Blueness]])</f>
        <v>2.8211466231286617</v>
      </c>
      <c r="Q660">
        <f>LN(1+Table1[[#This Row],[L* lab]])</f>
        <v>4.0071642084112371</v>
      </c>
      <c r="R660">
        <f>LN(1+Table1[[#This Row],[a* lab]]+128)</f>
        <v>5.0273708394335745</v>
      </c>
      <c r="S660">
        <f>LN(1+Table1[[#This Row],[b* lab]]+128)</f>
        <v>5.2311988796791713</v>
      </c>
      <c r="T660">
        <f>LN(1+Table1[[#This Row],[Hue]])</f>
        <v>3.5439859721568889</v>
      </c>
      <c r="U660">
        <f>LN(1+Table1[[#This Row],[Saturation]])</f>
        <v>4.5274699806373917</v>
      </c>
      <c r="V660">
        <f>LN(1+Table1[[#This Row],[Value]])</f>
        <v>4.3052119651599048</v>
      </c>
      <c r="W660" t="s">
        <v>26</v>
      </c>
    </row>
    <row r="661" spans="1:23" x14ac:dyDescent="0.3">
      <c r="A661">
        <v>300</v>
      </c>
      <c r="B661">
        <v>187.63467779999999</v>
      </c>
      <c r="C661">
        <v>110.96940840000001</v>
      </c>
      <c r="D661">
        <v>13.478861119999999</v>
      </c>
      <c r="E661">
        <v>54.070433899999998</v>
      </c>
      <c r="F661">
        <v>24.242988579999999</v>
      </c>
      <c r="G661">
        <v>58.659396729999997</v>
      </c>
      <c r="H661">
        <v>33.587352690000003</v>
      </c>
      <c r="I661">
        <v>92.816433889999999</v>
      </c>
      <c r="J661">
        <v>73.582226579999997</v>
      </c>
      <c r="K661" t="s">
        <v>6</v>
      </c>
      <c r="L661">
        <v>2.4</v>
      </c>
      <c r="M661">
        <v>0</v>
      </c>
      <c r="N661">
        <f>LN(1+Table1[[#This Row],[Redness]])</f>
        <v>5.2398122228626374</v>
      </c>
      <c r="O661">
        <f>LN(1+Table1[[#This Row],[Greeness]])</f>
        <v>4.7182256947000516</v>
      </c>
      <c r="P661">
        <f>LN(1+Table1[[#This Row],[Blueness]])</f>
        <v>2.6726897319306433</v>
      </c>
      <c r="Q661">
        <f>LN(1+Table1[[#This Row],[L* lab]])</f>
        <v>4.008612982306361</v>
      </c>
      <c r="R661">
        <f>LN(1+Table1[[#This Row],[a* lab]]+128)</f>
        <v>5.0320248222525592</v>
      </c>
      <c r="S661">
        <f>LN(1+Table1[[#This Row],[b* lab]]+128)</f>
        <v>5.2346286001599447</v>
      </c>
      <c r="T661">
        <f>LN(1+Table1[[#This Row],[Hue]])</f>
        <v>3.5434880860508486</v>
      </c>
      <c r="U661">
        <f>LN(1+Table1[[#This Row],[Saturation]])</f>
        <v>4.5413400420521359</v>
      </c>
      <c r="V661">
        <f>LN(1+Table1[[#This Row],[Value]])</f>
        <v>4.3119022292259155</v>
      </c>
      <c r="W661" t="s">
        <v>26</v>
      </c>
    </row>
    <row r="662" spans="1:23" x14ac:dyDescent="0.3">
      <c r="A662">
        <v>300</v>
      </c>
      <c r="B662">
        <v>167.43566666358299</v>
      </c>
      <c r="C662">
        <v>101.092355057674</v>
      </c>
      <c r="D662">
        <v>22.092063858547501</v>
      </c>
      <c r="E662">
        <v>49.067624753657299</v>
      </c>
      <c r="F662">
        <v>21.032867171233701</v>
      </c>
      <c r="G662">
        <v>51.292008171798599</v>
      </c>
      <c r="H662">
        <v>32.612494671030497</v>
      </c>
      <c r="I662">
        <v>86.805640459547007</v>
      </c>
      <c r="J662">
        <v>65.661045750424904</v>
      </c>
      <c r="K662" t="s">
        <v>6</v>
      </c>
      <c r="L662">
        <v>2.4</v>
      </c>
      <c r="M662">
        <v>0</v>
      </c>
      <c r="N662">
        <f>LN(1+Table1[[#This Row],[Redness]])</f>
        <v>5.1265538766720322</v>
      </c>
      <c r="O662">
        <f>LN(1+Table1[[#This Row],[Greeness]])</f>
        <v>4.6258778453610656</v>
      </c>
      <c r="P662">
        <f>LN(1+Table1[[#This Row],[Blueness]])</f>
        <v>3.1394890025918625</v>
      </c>
      <c r="Q662">
        <f>LN(1+Table1[[#This Row],[L* lab]])</f>
        <v>3.9133745867036756</v>
      </c>
      <c r="R662">
        <f>LN(1+Table1[[#This Row],[a* lab]]+128)</f>
        <v>5.0108543845690763</v>
      </c>
      <c r="S662">
        <f>LN(1+Table1[[#This Row],[b* lab]]+128)</f>
        <v>5.1945778040566024</v>
      </c>
      <c r="T662">
        <f>LN(1+Table1[[#This Row],[Hue]])</f>
        <v>3.5148978630536689</v>
      </c>
      <c r="U662">
        <f>LN(1+Table1[[#This Row],[Saturation]])</f>
        <v>4.4751257407137039</v>
      </c>
      <c r="V662">
        <f>LN(1+Table1[[#This Row],[Value]])</f>
        <v>4.1996207605816966</v>
      </c>
    </row>
    <row r="663" spans="1:23" x14ac:dyDescent="0.3">
      <c r="A663">
        <v>300</v>
      </c>
      <c r="B663">
        <v>167.89262221913</v>
      </c>
      <c r="C663">
        <v>100.36779966495899</v>
      </c>
      <c r="D663">
        <v>20.149773754232498</v>
      </c>
      <c r="E663">
        <v>48.948788461500101</v>
      </c>
      <c r="F663">
        <v>21.5932091870196</v>
      </c>
      <c r="G663">
        <v>51.839119862935497</v>
      </c>
      <c r="H663">
        <v>32.577424928876702</v>
      </c>
      <c r="I663">
        <v>87.998416197268398</v>
      </c>
      <c r="J663">
        <v>65.840244007502307</v>
      </c>
      <c r="K663" t="s">
        <v>6</v>
      </c>
      <c r="L663">
        <v>2.4</v>
      </c>
      <c r="M663">
        <v>0</v>
      </c>
      <c r="N663">
        <f>LN(1+Table1[[#This Row],[Redness]])</f>
        <v>5.1292631415046337</v>
      </c>
      <c r="O663">
        <f>LN(1+Table1[[#This Row],[Greeness]])</f>
        <v>4.6187554831802258</v>
      </c>
      <c r="P663">
        <f>LN(1+Table1[[#This Row],[Blueness]])</f>
        <v>3.0516292082356626</v>
      </c>
      <c r="Q663">
        <f>LN(1+Table1[[#This Row],[L* lab]])</f>
        <v>3.9109982497753815</v>
      </c>
      <c r="R663">
        <f>LN(1+Table1[[#This Row],[a* lab]]+128)</f>
        <v>5.0145822226294738</v>
      </c>
      <c r="S663">
        <f>LN(1+Table1[[#This Row],[b* lab]]+128)</f>
        <v>5.1976077954765794</v>
      </c>
      <c r="T663">
        <f>LN(1+Table1[[#This Row],[Hue]])</f>
        <v>3.5138539640418136</v>
      </c>
      <c r="U663">
        <f>LN(1+Table1[[#This Row],[Saturation]])</f>
        <v>4.4886185740374875</v>
      </c>
      <c r="V663">
        <f>LN(1+Table1[[#This Row],[Value]])</f>
        <v>4.2023053543414495</v>
      </c>
    </row>
    <row r="664" spans="1:23" x14ac:dyDescent="0.3">
      <c r="A664">
        <v>300</v>
      </c>
      <c r="B664">
        <v>166.84675555248299</v>
      </c>
      <c r="C664">
        <v>100.661310710105</v>
      </c>
      <c r="D664">
        <v>22.176928636402099</v>
      </c>
      <c r="E664">
        <v>48.885488516592702</v>
      </c>
      <c r="F664">
        <v>21.015825040356301</v>
      </c>
      <c r="G664">
        <v>51.080948276850599</v>
      </c>
      <c r="H664">
        <v>32.550415140496298</v>
      </c>
      <c r="I664">
        <v>86.708205045421906</v>
      </c>
      <c r="J664">
        <v>65.430100216660094</v>
      </c>
      <c r="K664" t="s">
        <v>6</v>
      </c>
      <c r="L664">
        <v>2.4</v>
      </c>
      <c r="M664">
        <v>0</v>
      </c>
      <c r="N664">
        <f>LN(1+Table1[[#This Row],[Redness]])</f>
        <v>5.123051393793193</v>
      </c>
      <c r="O664">
        <f>LN(1+Table1[[#This Row],[Greeness]])</f>
        <v>4.6216468050116299</v>
      </c>
      <c r="P664">
        <f>LN(1+Table1[[#This Row],[Blueness]])</f>
        <v>3.1431573285460055</v>
      </c>
      <c r="Q664">
        <f>LN(1+Table1[[#This Row],[L* lab]])</f>
        <v>3.9097301491729421</v>
      </c>
      <c r="R664">
        <f>LN(1+Table1[[#This Row],[a* lab]]+128)</f>
        <v>5.0107407888005362</v>
      </c>
      <c r="S664">
        <f>LN(1+Table1[[#This Row],[b* lab]]+128)</f>
        <v>5.1934064624489533</v>
      </c>
      <c r="T664">
        <f>LN(1+Table1[[#This Row],[Hue]])</f>
        <v>3.5130492371264208</v>
      </c>
      <c r="U664">
        <f>LN(1+Table1[[#This Row],[Saturation]])</f>
        <v>4.4740154531024432</v>
      </c>
      <c r="V664">
        <f>LN(1+Table1[[#This Row],[Value]])</f>
        <v>4.1961502702814624</v>
      </c>
    </row>
    <row r="665" spans="1:23" x14ac:dyDescent="0.3">
      <c r="A665">
        <v>300</v>
      </c>
      <c r="B665">
        <v>168.19093333023599</v>
      </c>
      <c r="C665">
        <v>100.660777376892</v>
      </c>
      <c r="D665">
        <v>20.900334826978298</v>
      </c>
      <c r="E665">
        <v>49.061331887243099</v>
      </c>
      <c r="F665">
        <v>21.579188399009499</v>
      </c>
      <c r="G665">
        <v>51.712773713844797</v>
      </c>
      <c r="H665">
        <v>32.491052393197798</v>
      </c>
      <c r="I665">
        <v>87.573447383194306</v>
      </c>
      <c r="J665">
        <v>65.957228756955402</v>
      </c>
      <c r="K665" t="s">
        <v>6</v>
      </c>
      <c r="L665">
        <v>2.4</v>
      </c>
      <c r="M665">
        <v>0</v>
      </c>
      <c r="N665">
        <f>LN(1+Table1[[#This Row],[Redness]])</f>
        <v>5.1310278602176682</v>
      </c>
      <c r="O665">
        <f>LN(1+Table1[[#This Row],[Greeness]])</f>
        <v>4.621641558821036</v>
      </c>
      <c r="P665">
        <f>LN(1+Table1[[#This Row],[Blueness]])</f>
        <v>3.0865019256086996</v>
      </c>
      <c r="Q665">
        <f>LN(1+Table1[[#This Row],[L* lab]])</f>
        <v>3.91324889146758</v>
      </c>
      <c r="R665">
        <f>LN(1+Table1[[#This Row],[a* lab]]+128)</f>
        <v>5.0144891145748671</v>
      </c>
      <c r="S665">
        <f>LN(1+Table1[[#This Row],[b* lab]]+128)</f>
        <v>5.1969088852704468</v>
      </c>
      <c r="T665">
        <f>LN(1+Table1[[#This Row],[Hue]])</f>
        <v>3.511278310415038</v>
      </c>
      <c r="U665">
        <f>LN(1+Table1[[#This Row],[Saturation]])</f>
        <v>4.4838321217601314</v>
      </c>
      <c r="V665">
        <f>LN(1+Table1[[#This Row],[Value]])</f>
        <v>4.2040540387799012</v>
      </c>
    </row>
    <row r="666" spans="1:23" x14ac:dyDescent="0.3">
      <c r="A666">
        <v>300</v>
      </c>
      <c r="B666">
        <v>161.76319999702099</v>
      </c>
      <c r="C666">
        <v>96.543978302126206</v>
      </c>
      <c r="D666">
        <v>20.322569908355899</v>
      </c>
      <c r="E666">
        <v>47.205204339361899</v>
      </c>
      <c r="F666">
        <v>21.022643551965999</v>
      </c>
      <c r="G666">
        <v>50.029961261916597</v>
      </c>
      <c r="H666">
        <v>32.333598208374298</v>
      </c>
      <c r="I666">
        <v>87.436839832093995</v>
      </c>
      <c r="J666">
        <v>63.436549018439798</v>
      </c>
      <c r="K666" t="s">
        <v>6</v>
      </c>
      <c r="L666">
        <v>2.4</v>
      </c>
      <c r="M666">
        <v>0</v>
      </c>
      <c r="N666">
        <f>LN(1+Table1[[#This Row],[Redness]])</f>
        <v>5.0922963837722461</v>
      </c>
      <c r="O666">
        <f>LN(1+Table1[[#This Row],[Greeness]])</f>
        <v>4.5803033358160272</v>
      </c>
      <c r="P666">
        <f>LN(1+Table1[[#This Row],[Blueness]])</f>
        <v>3.0597661318248592</v>
      </c>
      <c r="Q666">
        <f>LN(1+Table1[[#This Row],[L* lab]])</f>
        <v>3.8754669890734812</v>
      </c>
      <c r="R666">
        <f>LN(1+Table1[[#This Row],[a* lab]]+128)</f>
        <v>5.0107862397164986</v>
      </c>
      <c r="S666">
        <f>LN(1+Table1[[#This Row],[b* lab]]+128)</f>
        <v>5.1875531731855489</v>
      </c>
      <c r="T666">
        <f>LN(1+Table1[[#This Row],[Hue]])</f>
        <v>3.5065658435396392</v>
      </c>
      <c r="U666">
        <f>LN(1+Table1[[#This Row],[Saturation]])</f>
        <v>4.4822886230135843</v>
      </c>
      <c r="V666">
        <f>LN(1+Table1[[#This Row],[Value]])</f>
        <v>4.1656810034675349</v>
      </c>
    </row>
    <row r="667" spans="1:23" x14ac:dyDescent="0.3">
      <c r="A667">
        <v>300</v>
      </c>
      <c r="B667">
        <v>163.380822219213</v>
      </c>
      <c r="C667">
        <v>97.212800374033407</v>
      </c>
      <c r="D667">
        <v>20.126152057751899</v>
      </c>
      <c r="E667">
        <v>47.583297611146101</v>
      </c>
      <c r="F667">
        <v>21.362993731652502</v>
      </c>
      <c r="G667">
        <v>50.4873060032007</v>
      </c>
      <c r="H667">
        <v>32.2865487998669</v>
      </c>
      <c r="I667">
        <v>87.681447684999398</v>
      </c>
      <c r="J667">
        <v>64.0709106742015</v>
      </c>
      <c r="K667" t="s">
        <v>6</v>
      </c>
      <c r="L667">
        <v>2.4</v>
      </c>
      <c r="M667">
        <v>0</v>
      </c>
      <c r="N667">
        <f>LN(1+Table1[[#This Row],[Redness]])</f>
        <v>5.1021858226497656</v>
      </c>
      <c r="O667">
        <f>LN(1+Table1[[#This Row],[Greeness]])</f>
        <v>4.5871365569066649</v>
      </c>
      <c r="P667">
        <f>LN(1+Table1[[#This Row],[Blueness]])</f>
        <v>3.0505117070344396</v>
      </c>
      <c r="Q667">
        <f>LN(1+Table1[[#This Row],[L* lab]])</f>
        <v>3.8832798012856404</v>
      </c>
      <c r="R667">
        <f>LN(1+Table1[[#This Row],[a* lab]]+128)</f>
        <v>5.0130523289237612</v>
      </c>
      <c r="S667">
        <f>LN(1+Table1[[#This Row],[b* lab]]+128)</f>
        <v>5.1901044867825306</v>
      </c>
      <c r="T667">
        <f>LN(1+Table1[[#This Row],[Hue]])</f>
        <v>3.5051533754367452</v>
      </c>
      <c r="U667">
        <f>LN(1+Table1[[#This Row],[Saturation]])</f>
        <v>4.4850507094344314</v>
      </c>
      <c r="V667">
        <f>LN(1+Table1[[#This Row],[Value]])</f>
        <v>4.1754776087094285</v>
      </c>
    </row>
    <row r="668" spans="1:23" x14ac:dyDescent="0.3">
      <c r="A668">
        <v>300</v>
      </c>
      <c r="B668">
        <v>163.151977774773</v>
      </c>
      <c r="C668">
        <v>97.758178029239701</v>
      </c>
      <c r="D668">
        <v>21.9449115781199</v>
      </c>
      <c r="E668">
        <v>47.691991062750702</v>
      </c>
      <c r="F668">
        <v>20.9995129115247</v>
      </c>
      <c r="G668">
        <v>49.957845234748703</v>
      </c>
      <c r="H668">
        <v>32.2136569336569</v>
      </c>
      <c r="I668">
        <v>86.549405114528099</v>
      </c>
      <c r="J668">
        <v>63.9811677548132</v>
      </c>
      <c r="K668" t="s">
        <v>6</v>
      </c>
      <c r="L668">
        <v>2.4</v>
      </c>
      <c r="M668">
        <v>0</v>
      </c>
      <c r="N668">
        <f>LN(1+Table1[[#This Row],[Redness]])</f>
        <v>5.1007926924572482</v>
      </c>
      <c r="O668">
        <f>LN(1+Table1[[#This Row],[Greeness]])</f>
        <v>4.5926742158381897</v>
      </c>
      <c r="P668">
        <f>LN(1+Table1[[#This Row],[Blueness]])</f>
        <v>3.1330961941945645</v>
      </c>
      <c r="Q668">
        <f>LN(1+Table1[[#This Row],[L* lab]])</f>
        <v>3.8855145620007692</v>
      </c>
      <c r="R668">
        <f>LN(1+Table1[[#This Row],[a* lab]]+128)</f>
        <v>5.0106320468344814</v>
      </c>
      <c r="S668">
        <f>LN(1+Table1[[#This Row],[b* lab]]+128)</f>
        <v>5.1871502766240756</v>
      </c>
      <c r="T668">
        <f>LN(1+Table1[[#This Row],[Hue]])</f>
        <v>3.5029611447632187</v>
      </c>
      <c r="U668">
        <f>LN(1+Table1[[#This Row],[Saturation]])</f>
        <v>4.4722032639004166</v>
      </c>
      <c r="V668">
        <f>LN(1+Table1[[#This Row],[Value]])</f>
        <v>4.1740975010676777</v>
      </c>
    </row>
    <row r="669" spans="1:23" x14ac:dyDescent="0.3">
      <c r="A669">
        <v>300</v>
      </c>
      <c r="B669">
        <v>162.43466666367499</v>
      </c>
      <c r="C669">
        <v>95.419000777182603</v>
      </c>
      <c r="D669">
        <v>18.236749665218401</v>
      </c>
      <c r="E669">
        <v>47.018600590463201</v>
      </c>
      <c r="F669">
        <v>21.905871346143702</v>
      </c>
      <c r="G669">
        <v>50.579106540259303</v>
      </c>
      <c r="H669">
        <v>32.115131501985502</v>
      </c>
      <c r="I669">
        <v>88.772870939564797</v>
      </c>
      <c r="J669">
        <v>63.6998692798728</v>
      </c>
      <c r="K669" t="s">
        <v>6</v>
      </c>
      <c r="L669">
        <v>2.4</v>
      </c>
      <c r="M669">
        <v>0</v>
      </c>
      <c r="N669">
        <f>LN(1+Table1[[#This Row],[Redness]])</f>
        <v>5.096413318207941</v>
      </c>
      <c r="O669">
        <f>LN(1+Table1[[#This Row],[Greeness]])</f>
        <v>4.5687032856919023</v>
      </c>
      <c r="P669">
        <f>LN(1+Table1[[#This Row],[Blueness]])</f>
        <v>2.9568224946470032</v>
      </c>
      <c r="Q669">
        <f>LN(1+Table1[[#This Row],[L* lab]])</f>
        <v>3.8715884481457072</v>
      </c>
      <c r="R669">
        <f>LN(1+Table1[[#This Row],[a* lab]]+128)</f>
        <v>5.0166562738713711</v>
      </c>
      <c r="S669">
        <f>LN(1+Table1[[#This Row],[b* lab]]+128)</f>
        <v>5.1906158158060869</v>
      </c>
      <c r="T669">
        <f>LN(1+Table1[[#This Row],[Hue]])</f>
        <v>3.4999903229991323</v>
      </c>
      <c r="U669">
        <f>LN(1+Table1[[#This Row],[Saturation]])</f>
        <v>4.4972828243150822</v>
      </c>
      <c r="V669">
        <f>LN(1+Table1[[#This Row],[Value]])</f>
        <v>4.1697591811009929</v>
      </c>
    </row>
    <row r="670" spans="1:23" x14ac:dyDescent="0.3">
      <c r="A670">
        <v>300</v>
      </c>
      <c r="B670">
        <v>161.26784444147501</v>
      </c>
      <c r="C670">
        <v>95.267823033381504</v>
      </c>
      <c r="D670">
        <v>19.267415614857899</v>
      </c>
      <c r="E670">
        <v>46.826533337093302</v>
      </c>
      <c r="F670">
        <v>21.4970913469921</v>
      </c>
      <c r="G670">
        <v>50.034965396909399</v>
      </c>
      <c r="H670">
        <v>32.112751227527703</v>
      </c>
      <c r="I670">
        <v>88.052537267061794</v>
      </c>
      <c r="J670">
        <v>63.242291937833301</v>
      </c>
      <c r="K670" t="s">
        <v>6</v>
      </c>
      <c r="L670">
        <v>2.4</v>
      </c>
      <c r="M670">
        <v>0</v>
      </c>
      <c r="N670">
        <f>LN(1+Table1[[#This Row],[Redness]])</f>
        <v>5.089248330686023</v>
      </c>
      <c r="O670">
        <f>LN(1+Table1[[#This Row],[Greeness]])</f>
        <v>4.5671341303980304</v>
      </c>
      <c r="P670">
        <f>LN(1+Table1[[#This Row],[Blueness]])</f>
        <v>3.0090144543016928</v>
      </c>
      <c r="Q670">
        <f>LN(1+Table1[[#This Row],[L* lab]])</f>
        <v>3.8675805762257069</v>
      </c>
      <c r="R670">
        <f>LN(1+Table1[[#This Row],[a* lab]]+128)</f>
        <v>5.0139437574041104</v>
      </c>
      <c r="S670">
        <f>LN(1+Table1[[#This Row],[b* lab]]+128)</f>
        <v>5.1875811241777887</v>
      </c>
      <c r="T670">
        <f>LN(1+Table1[[#This Row],[Hue]])</f>
        <v>3.4999184416597107</v>
      </c>
      <c r="U670">
        <f>LN(1+Table1[[#This Row],[Saturation]])</f>
        <v>4.4892265019413502</v>
      </c>
      <c r="V670">
        <f>LN(1+Table1[[#This Row],[Value]])</f>
        <v>4.162661746739202</v>
      </c>
    </row>
    <row r="671" spans="1:23" x14ac:dyDescent="0.3">
      <c r="A671">
        <v>300</v>
      </c>
      <c r="B671">
        <v>166.41086666360201</v>
      </c>
      <c r="C671">
        <v>98.852266672236496</v>
      </c>
      <c r="D671">
        <v>21.114930050791202</v>
      </c>
      <c r="E671">
        <v>48.390883332941897</v>
      </c>
      <c r="F671">
        <v>21.809571266957899</v>
      </c>
      <c r="G671">
        <v>50.9996167166234</v>
      </c>
      <c r="H671">
        <v>32.101656151032699</v>
      </c>
      <c r="I671">
        <v>87.311567763495404</v>
      </c>
      <c r="J671">
        <v>65.259163397491207</v>
      </c>
      <c r="K671" t="s">
        <v>6</v>
      </c>
      <c r="L671">
        <v>2.4</v>
      </c>
      <c r="M671">
        <v>0</v>
      </c>
      <c r="N671">
        <f>LN(1+Table1[[#This Row],[Redness]])</f>
        <v>5.1204510703069639</v>
      </c>
      <c r="O671">
        <f>LN(1+Table1[[#This Row],[Greeness]])</f>
        <v>4.603691760377691</v>
      </c>
      <c r="P671">
        <f>LN(1+Table1[[#This Row],[Blueness]])</f>
        <v>3.0962529483395338</v>
      </c>
      <c r="Q671">
        <f>LN(1+Table1[[#This Row],[L* lab]])</f>
        <v>3.8997658592466586</v>
      </c>
      <c r="R671">
        <f>LN(1+Table1[[#This Row],[a* lab]]+128)</f>
        <v>5.0160179234997635</v>
      </c>
      <c r="S671">
        <f>LN(1+Table1[[#This Row],[b* lab]]+128)</f>
        <v>5.1929547215358509</v>
      </c>
      <c r="T671">
        <f>LN(1+Table1[[#This Row],[Hue]])</f>
        <v>3.4995833159057215</v>
      </c>
      <c r="U671">
        <f>LN(1+Table1[[#This Row],[Saturation]])</f>
        <v>4.4808711042785747</v>
      </c>
      <c r="V671">
        <f>LN(1+Table1[[#This Row],[Value]])</f>
        <v>4.1935737707354637</v>
      </c>
    </row>
    <row r="672" spans="1:23" x14ac:dyDescent="0.3">
      <c r="A672">
        <v>300</v>
      </c>
      <c r="B672">
        <v>161.949311108129</v>
      </c>
      <c r="C672">
        <v>95.949289546891293</v>
      </c>
      <c r="D672">
        <v>20.5717865838309</v>
      </c>
      <c r="E672">
        <v>47.088492804795997</v>
      </c>
      <c r="F672">
        <v>21.4489632956207</v>
      </c>
      <c r="G672">
        <v>49.8592833357853</v>
      </c>
      <c r="H672">
        <v>31.989880944664002</v>
      </c>
      <c r="I672">
        <v>87.297391731357393</v>
      </c>
      <c r="J672">
        <v>63.509533767893799</v>
      </c>
      <c r="K672" t="s">
        <v>6</v>
      </c>
      <c r="L672">
        <v>2.4</v>
      </c>
      <c r="M672">
        <v>0</v>
      </c>
      <c r="N672">
        <f>LN(1+Table1[[#This Row],[Redness]])</f>
        <v>5.0934391776473191</v>
      </c>
      <c r="O672">
        <f>LN(1+Table1[[#This Row],[Greeness]])</f>
        <v>4.5741880536256199</v>
      </c>
      <c r="P672">
        <f>LN(1+Table1[[#This Row],[Blueness]])</f>
        <v>3.0713862842233213</v>
      </c>
      <c r="Q672">
        <f>LN(1+Table1[[#This Row],[L* lab]])</f>
        <v>3.8730429136629732</v>
      </c>
      <c r="R672">
        <f>LN(1+Table1[[#This Row],[a* lab]]+128)</f>
        <v>5.0136239123618562</v>
      </c>
      <c r="S672">
        <f>LN(1+Table1[[#This Row],[b* lab]]+128)</f>
        <v>5.1865993700654665</v>
      </c>
      <c r="T672">
        <f>LN(1+Table1[[#This Row],[Hue]])</f>
        <v>3.4962008764029386</v>
      </c>
      <c r="U672">
        <f>LN(1+Table1[[#This Row],[Saturation]])</f>
        <v>4.4807105684574138</v>
      </c>
      <c r="V672">
        <f>LN(1+Table1[[#This Row],[Value]])</f>
        <v>4.1668130232337957</v>
      </c>
    </row>
    <row r="673" spans="1:23" x14ac:dyDescent="0.3">
      <c r="A673">
        <v>300</v>
      </c>
      <c r="B673">
        <v>160.474444441489</v>
      </c>
      <c r="C673">
        <v>94.474423211694898</v>
      </c>
      <c r="D673">
        <v>19.101219313843401</v>
      </c>
      <c r="E673">
        <v>46.527570185551099</v>
      </c>
      <c r="F673">
        <v>21.587220042541599</v>
      </c>
      <c r="G673">
        <v>49.801097377789603</v>
      </c>
      <c r="H673">
        <v>31.989029250678801</v>
      </c>
      <c r="I673">
        <v>88.0970335305894</v>
      </c>
      <c r="J673">
        <v>62.931154682937098</v>
      </c>
      <c r="K673" t="s">
        <v>6</v>
      </c>
      <c r="L673">
        <v>2.4</v>
      </c>
      <c r="M673">
        <v>0</v>
      </c>
      <c r="N673">
        <f>LN(1+Table1[[#This Row],[Redness]])</f>
        <v>5.0843468913892487</v>
      </c>
      <c r="O673">
        <f>LN(1+Table1[[#This Row],[Greeness]])</f>
        <v>4.558858391843736</v>
      </c>
      <c r="P673">
        <f>LN(1+Table1[[#This Row],[Blueness]])</f>
        <v>3.0007804756054108</v>
      </c>
      <c r="Q673">
        <f>LN(1+Table1[[#This Row],[L* lab]])</f>
        <v>3.8613099676181517</v>
      </c>
      <c r="R673">
        <f>LN(1+Table1[[#This Row],[a* lab]]+128)</f>
        <v>5.0145424514896684</v>
      </c>
      <c r="S673">
        <f>LN(1+Table1[[#This Row],[b* lab]]+128)</f>
        <v>5.1862740001802532</v>
      </c>
      <c r="T673">
        <f>LN(1+Table1[[#This Row],[Hue]])</f>
        <v>3.4961750592446155</v>
      </c>
      <c r="U673">
        <f>LN(1+Table1[[#This Row],[Saturation]])</f>
        <v>4.4897260402142036</v>
      </c>
      <c r="V673">
        <f>LN(1+Table1[[#This Row],[Value]])</f>
        <v>4.1578067962913758</v>
      </c>
    </row>
    <row r="674" spans="1:23" x14ac:dyDescent="0.3">
      <c r="A674">
        <v>400</v>
      </c>
      <c r="B674">
        <v>185.76276669999999</v>
      </c>
      <c r="C674">
        <v>114.67447420000001</v>
      </c>
      <c r="D674">
        <v>20.133963000000001</v>
      </c>
      <c r="E674">
        <v>54.710171099999997</v>
      </c>
      <c r="F674">
        <v>21.511688750000001</v>
      </c>
      <c r="G674">
        <v>57.408247000000003</v>
      </c>
      <c r="H674">
        <v>34.247851509999997</v>
      </c>
      <c r="I674">
        <v>89.161464719999998</v>
      </c>
      <c r="J674">
        <v>72.848143789999995</v>
      </c>
      <c r="K674" t="s">
        <v>6</v>
      </c>
      <c r="L674" s="3">
        <v>3.2</v>
      </c>
      <c r="M674">
        <v>0</v>
      </c>
      <c r="N674">
        <f>LN(1+Table1[[#This Row],[Redness]])</f>
        <v>5.2298391841930503</v>
      </c>
      <c r="O674">
        <f>LN(1+Table1[[#This Row],[Greeness]])</f>
        <v>4.7507799892888922</v>
      </c>
      <c r="P674">
        <f>LN(1+Table1[[#This Row],[Blueness]])</f>
        <v>3.0508813672838913</v>
      </c>
      <c r="Q674">
        <f>LN(1+Table1[[#This Row],[L* lab]])</f>
        <v>4.0201627352899001</v>
      </c>
      <c r="R674">
        <f>LN(1+Table1[[#This Row],[a* lab]]+128)</f>
        <v>5.0140407472860309</v>
      </c>
      <c r="S674">
        <f>LN(1+Table1[[#This Row],[b* lab]]+128)</f>
        <v>5.2279391448350054</v>
      </c>
      <c r="T674">
        <f>LN(1+Table1[[#This Row],[Hue]])</f>
        <v>3.5624045773298247</v>
      </c>
      <c r="U674">
        <f>LN(1+Table1[[#This Row],[Saturation]])</f>
        <v>4.5016021153848298</v>
      </c>
      <c r="V674">
        <f>LN(1+Table1[[#This Row],[Value]])</f>
        <v>4.3020108737935274</v>
      </c>
      <c r="W674" t="s">
        <v>26</v>
      </c>
    </row>
    <row r="675" spans="1:23" x14ac:dyDescent="0.3">
      <c r="A675">
        <v>400</v>
      </c>
      <c r="B675">
        <v>183.9692306</v>
      </c>
      <c r="C675">
        <v>113.97862720000001</v>
      </c>
      <c r="D675">
        <v>21.585639019999999</v>
      </c>
      <c r="E675">
        <v>54.319333810000003</v>
      </c>
      <c r="F675">
        <v>21.142253610000001</v>
      </c>
      <c r="G675">
        <v>56.576012140000003</v>
      </c>
      <c r="H675">
        <v>34.13878974</v>
      </c>
      <c r="I675">
        <v>88.266712339999998</v>
      </c>
      <c r="J675">
        <v>72.144796290000002</v>
      </c>
      <c r="K675" t="s">
        <v>6</v>
      </c>
      <c r="L675" s="3">
        <v>3.2</v>
      </c>
      <c r="M675">
        <v>0</v>
      </c>
      <c r="N675">
        <f>LN(1+Table1[[#This Row],[Redness]])</f>
        <v>5.2201894901643593</v>
      </c>
      <c r="O675">
        <f>LN(1+Table1[[#This Row],[Greeness]])</f>
        <v>4.744746260656135</v>
      </c>
      <c r="P675">
        <f>LN(1+Table1[[#This Row],[Blueness]])</f>
        <v>3.1173142627067425</v>
      </c>
      <c r="Q675">
        <f>LN(1+Table1[[#This Row],[L* lab]])</f>
        <v>4.0131224642439305</v>
      </c>
      <c r="R675">
        <f>LN(1+Table1[[#This Row],[a* lab]]+128)</f>
        <v>5.0115832020894864</v>
      </c>
      <c r="S675">
        <f>LN(1+Table1[[#This Row],[b* lab]]+128)</f>
        <v>5.2234645670639086</v>
      </c>
      <c r="T675">
        <f>LN(1+Table1[[#This Row],[Hue]])</f>
        <v>3.5593056410730712</v>
      </c>
      <c r="U675">
        <f>LN(1+Table1[[#This Row],[Saturation]])</f>
        <v>4.4916286562393166</v>
      </c>
      <c r="V675">
        <f>LN(1+Table1[[#This Row],[Value]])</f>
        <v>4.2924409874101075</v>
      </c>
      <c r="W675" t="s">
        <v>26</v>
      </c>
    </row>
    <row r="676" spans="1:23" x14ac:dyDescent="0.3">
      <c r="A676">
        <v>400</v>
      </c>
      <c r="B676">
        <v>181.75734439999999</v>
      </c>
      <c r="C676">
        <v>111.54131940000001</v>
      </c>
      <c r="D676">
        <v>18.89452391</v>
      </c>
      <c r="E676">
        <v>53.439597990000003</v>
      </c>
      <c r="F676">
        <v>21.460349560000001</v>
      </c>
      <c r="G676">
        <v>56.537076800000001</v>
      </c>
      <c r="H676">
        <v>34.131839970000001</v>
      </c>
      <c r="I676">
        <v>89.604533470000007</v>
      </c>
      <c r="J676">
        <v>71.277389979999995</v>
      </c>
      <c r="K676" t="s">
        <v>6</v>
      </c>
      <c r="L676" s="3">
        <v>3.2</v>
      </c>
      <c r="M676">
        <v>0</v>
      </c>
      <c r="N676">
        <f>LN(1+Table1[[#This Row],[Redness]])</f>
        <v>5.2081592860576569</v>
      </c>
      <c r="O676">
        <f>LN(1+Table1[[#This Row],[Greeness]])</f>
        <v>4.7233204377679359</v>
      </c>
      <c r="P676">
        <f>LN(1+Table1[[#This Row],[Blueness]])</f>
        <v>2.9904445134593627</v>
      </c>
      <c r="Q676">
        <f>LN(1+Table1[[#This Row],[L* lab]])</f>
        <v>3.9970917932960441</v>
      </c>
      <c r="R676">
        <f>LN(1+Table1[[#This Row],[a* lab]]+128)</f>
        <v>5.0136995914046656</v>
      </c>
      <c r="S676">
        <f>LN(1+Table1[[#This Row],[b* lab]]+128)</f>
        <v>5.2232547370077711</v>
      </c>
      <c r="T676">
        <f>LN(1+Table1[[#This Row],[Hue]])</f>
        <v>3.559107840938041</v>
      </c>
      <c r="U676">
        <f>LN(1+Table1[[#This Row],[Saturation]])</f>
        <v>4.5065042500972803</v>
      </c>
      <c r="V676">
        <f>LN(1+Table1[[#This Row],[Value]])</f>
        <v>4.2805113552214706</v>
      </c>
      <c r="W676" t="s">
        <v>26</v>
      </c>
    </row>
    <row r="677" spans="1:23" x14ac:dyDescent="0.3">
      <c r="A677">
        <v>400</v>
      </c>
      <c r="B677">
        <v>181.99834440000001</v>
      </c>
      <c r="C677">
        <v>108.0667646</v>
      </c>
      <c r="D677">
        <v>15.438356389999999</v>
      </c>
      <c r="E677">
        <v>52.64386666</v>
      </c>
      <c r="F677">
        <v>23.420427979999999</v>
      </c>
      <c r="G677">
        <v>56.830450089999999</v>
      </c>
      <c r="H677">
        <v>33.367584600000001</v>
      </c>
      <c r="I677">
        <v>91.517309429999997</v>
      </c>
      <c r="J677">
        <v>71.371899780000007</v>
      </c>
      <c r="K677" t="s">
        <v>6</v>
      </c>
      <c r="L677" s="3">
        <v>3.2</v>
      </c>
      <c r="M677">
        <v>0</v>
      </c>
      <c r="N677">
        <f>LN(1+Table1[[#This Row],[Redness]])</f>
        <v>5.209477105805961</v>
      </c>
      <c r="O677">
        <f>LN(1+Table1[[#This Row],[Greeness]])</f>
        <v>4.6919602139818393</v>
      </c>
      <c r="P677">
        <f>LN(1+Table1[[#This Row],[Blueness]])</f>
        <v>2.7996174083527006</v>
      </c>
      <c r="Q677">
        <f>LN(1+Table1[[#This Row],[L* lab]])</f>
        <v>3.982367141199493</v>
      </c>
      <c r="R677">
        <f>LN(1+Table1[[#This Row],[a* lab]]+128)</f>
        <v>5.026642676133255</v>
      </c>
      <c r="S677">
        <f>LN(1+Table1[[#This Row],[b* lab]]+128)</f>
        <v>5.2248346993350401</v>
      </c>
      <c r="T677">
        <f>LN(1+Table1[[#This Row],[Hue]])</f>
        <v>3.5371138119883998</v>
      </c>
      <c r="U677">
        <f>LN(1+Table1[[#This Row],[Saturation]])</f>
        <v>4.5273957559849105</v>
      </c>
      <c r="V677">
        <f>LN(1+Table1[[#This Row],[Value]])</f>
        <v>4.2818180994661938</v>
      </c>
      <c r="W677" t="s">
        <v>26</v>
      </c>
    </row>
    <row r="678" spans="1:23" x14ac:dyDescent="0.3">
      <c r="A678">
        <v>400</v>
      </c>
      <c r="B678">
        <v>160.262222219271</v>
      </c>
      <c r="C678">
        <v>94.371267679323097</v>
      </c>
      <c r="D678">
        <v>16.627985471041999</v>
      </c>
      <c r="E678">
        <v>46.463093037335803</v>
      </c>
      <c r="F678">
        <v>21.492970322492202</v>
      </c>
      <c r="G678">
        <v>50.509573497986501</v>
      </c>
      <c r="H678">
        <v>32.475522814753703</v>
      </c>
      <c r="I678">
        <v>89.624513350194505</v>
      </c>
      <c r="J678">
        <v>62.847930282067097</v>
      </c>
      <c r="K678" t="s">
        <v>6</v>
      </c>
      <c r="L678">
        <v>3.2</v>
      </c>
      <c r="M678">
        <v>0</v>
      </c>
      <c r="N678">
        <f>LN(1+Table1[[#This Row],[Redness]])</f>
        <v>5.0830317495121138</v>
      </c>
      <c r="O678">
        <f>LN(1+Table1[[#This Row],[Greeness]])</f>
        <v>4.5577773557256434</v>
      </c>
      <c r="P678">
        <f>LN(1+Table1[[#This Row],[Blueness]])</f>
        <v>2.8694877227816473</v>
      </c>
      <c r="Q678">
        <f>LN(1+Table1[[#This Row],[L* lab]])</f>
        <v>3.8599524203407678</v>
      </c>
      <c r="R678">
        <f>LN(1+Table1[[#This Row],[a* lab]]+128)</f>
        <v>5.0139163742773896</v>
      </c>
      <c r="S678">
        <f>LN(1+Table1[[#This Row],[b* lab]]+128)</f>
        <v>5.1902285407567339</v>
      </c>
      <c r="T678">
        <f>LN(1+Table1[[#This Row],[Hue]])</f>
        <v>3.510814509521107</v>
      </c>
      <c r="U678">
        <f>LN(1+Table1[[#This Row],[Saturation]])</f>
        <v>4.5067247432315325</v>
      </c>
      <c r="V678">
        <f>LN(1+Table1[[#This Row],[Value]])</f>
        <v>4.1565041666370615</v>
      </c>
    </row>
    <row r="679" spans="1:23" x14ac:dyDescent="0.3">
      <c r="A679">
        <v>400</v>
      </c>
      <c r="B679">
        <v>158.57795555263499</v>
      </c>
      <c r="C679">
        <v>93.182379057632204</v>
      </c>
      <c r="D679">
        <v>16.097597275746601</v>
      </c>
      <c r="E679">
        <v>45.9460550262474</v>
      </c>
      <c r="F679">
        <v>21.400382017614</v>
      </c>
      <c r="G679">
        <v>50.156733128017201</v>
      </c>
      <c r="H679">
        <v>32.461224570512201</v>
      </c>
      <c r="I679">
        <v>89.848779914176902</v>
      </c>
      <c r="J679">
        <v>62.1874335500532</v>
      </c>
      <c r="K679" t="s">
        <v>6</v>
      </c>
      <c r="L679">
        <v>3.2</v>
      </c>
      <c r="M679">
        <v>0</v>
      </c>
      <c r="N679">
        <f>LN(1+Table1[[#This Row],[Redness]])</f>
        <v>5.072532552372043</v>
      </c>
      <c r="O679">
        <f>LN(1+Table1[[#This Row],[Greeness]])</f>
        <v>4.5452331052484549</v>
      </c>
      <c r="P679">
        <f>LN(1+Table1[[#This Row],[Blueness]])</f>
        <v>2.8389379434458752</v>
      </c>
      <c r="Q679">
        <f>LN(1+Table1[[#This Row],[L* lab]])</f>
        <v>3.8489991771239183</v>
      </c>
      <c r="R679">
        <f>LN(1+Table1[[#This Row],[a* lab]]+128)</f>
        <v>5.0133009515232452</v>
      </c>
      <c r="S679">
        <f>LN(1+Table1[[#This Row],[b* lab]]+128)</f>
        <v>5.188261026790272</v>
      </c>
      <c r="T679">
        <f>LN(1+Table1[[#This Row],[Hue]])</f>
        <v>3.5103872929317892</v>
      </c>
      <c r="U679">
        <f>LN(1+Table1[[#This Row],[Saturation]])</f>
        <v>4.50919636507866</v>
      </c>
      <c r="V679">
        <f>LN(1+Table1[[#This Row],[Value]])</f>
        <v>4.1461054451489314</v>
      </c>
    </row>
    <row r="680" spans="1:23" x14ac:dyDescent="0.3">
      <c r="A680">
        <v>400</v>
      </c>
      <c r="B680">
        <v>158.59448888596799</v>
      </c>
      <c r="C680">
        <v>93.221667937691095</v>
      </c>
      <c r="D680">
        <v>16.228261034265898</v>
      </c>
      <c r="E680">
        <v>45.958178611458401</v>
      </c>
      <c r="F680">
        <v>21.388286379465299</v>
      </c>
      <c r="G680">
        <v>50.132984183836797</v>
      </c>
      <c r="H680">
        <v>32.448737905857598</v>
      </c>
      <c r="I680">
        <v>89.767449582731501</v>
      </c>
      <c r="J680">
        <v>62.193917210183798</v>
      </c>
      <c r="K680" t="s">
        <v>6</v>
      </c>
      <c r="L680">
        <v>3.2</v>
      </c>
      <c r="M680">
        <v>0</v>
      </c>
      <c r="N680">
        <f>LN(1+Table1[[#This Row],[Redness]])</f>
        <v>5.0726361536298326</v>
      </c>
      <c r="O680">
        <f>LN(1+Table1[[#This Row],[Greeness]])</f>
        <v>4.5456501757016117</v>
      </c>
      <c r="P680">
        <f>LN(1+Table1[[#This Row],[Blueness]])</f>
        <v>2.8465511188222541</v>
      </c>
      <c r="Q680">
        <f>LN(1+Table1[[#This Row],[L* lab]])</f>
        <v>3.8492573888106274</v>
      </c>
      <c r="R680">
        <f>LN(1+Table1[[#This Row],[a* lab]]+128)</f>
        <v>5.0132205253674345</v>
      </c>
      <c r="S680">
        <f>LN(1+Table1[[#This Row],[b* lab]]+128)</f>
        <v>5.1881284584073821</v>
      </c>
      <c r="T680">
        <f>LN(1+Table1[[#This Row],[Hue]])</f>
        <v>3.5100140550958252</v>
      </c>
      <c r="U680">
        <f>LN(1+Table1[[#This Row],[Saturation]])</f>
        <v>4.508300736564542</v>
      </c>
      <c r="V680">
        <f>LN(1+Table1[[#This Row],[Value]])</f>
        <v>4.1462080498464964</v>
      </c>
    </row>
    <row r="681" spans="1:23" x14ac:dyDescent="0.3">
      <c r="A681">
        <v>400</v>
      </c>
      <c r="B681">
        <v>156.60586666378299</v>
      </c>
      <c r="C681">
        <v>90.605846303364402</v>
      </c>
      <c r="D681">
        <v>13.742271919799499</v>
      </c>
      <c r="E681">
        <v>45.048201202852297</v>
      </c>
      <c r="F681">
        <v>21.928838786939</v>
      </c>
      <c r="G681">
        <v>50.013601490142499</v>
      </c>
      <c r="H681">
        <v>32.281243316594498</v>
      </c>
      <c r="I681">
        <v>91.224931598952907</v>
      </c>
      <c r="J681">
        <v>61.414065358346299</v>
      </c>
      <c r="K681" t="s">
        <v>6</v>
      </c>
      <c r="L681">
        <v>3.2</v>
      </c>
      <c r="M681">
        <v>0</v>
      </c>
      <c r="N681">
        <f>LN(1+Table1[[#This Row],[Redness]])</f>
        <v>5.0600974017549483</v>
      </c>
      <c r="O681">
        <f>LN(1+Table1[[#This Row],[Greeness]])</f>
        <v>4.5174950939159393</v>
      </c>
      <c r="P681">
        <f>LN(1+Table1[[#This Row],[Blueness]])</f>
        <v>2.6907190078418304</v>
      </c>
      <c r="Q681">
        <f>LN(1+Table1[[#This Row],[L* lab]])</f>
        <v>3.8296887001110713</v>
      </c>
      <c r="R681">
        <f>LN(1+Table1[[#This Row],[a* lab]]+128)</f>
        <v>5.0168084594223936</v>
      </c>
      <c r="S681">
        <f>LN(1+Table1[[#This Row],[b* lab]]+128)</f>
        <v>5.1874617889324162</v>
      </c>
      <c r="T681">
        <f>LN(1+Table1[[#This Row],[Hue]])</f>
        <v>3.5049939745278387</v>
      </c>
      <c r="U681">
        <f>LN(1+Table1[[#This Row],[Saturation]])</f>
        <v>4.5242305018067031</v>
      </c>
      <c r="V681">
        <f>LN(1+Table1[[#This Row],[Value]])</f>
        <v>4.1337906563589346</v>
      </c>
    </row>
    <row r="682" spans="1:23" x14ac:dyDescent="0.3">
      <c r="A682">
        <v>400</v>
      </c>
      <c r="B682">
        <v>159.82557777483399</v>
      </c>
      <c r="C682">
        <v>92.532579203672199</v>
      </c>
      <c r="D682">
        <v>14.756804895172801</v>
      </c>
      <c r="E682">
        <v>45.959218104506903</v>
      </c>
      <c r="F682">
        <v>22.294410636640599</v>
      </c>
      <c r="G682">
        <v>50.635257197534898</v>
      </c>
      <c r="H682">
        <v>32.167821963869201</v>
      </c>
      <c r="I682">
        <v>90.766931613435105</v>
      </c>
      <c r="J682">
        <v>62.676697166601897</v>
      </c>
      <c r="K682" t="s">
        <v>6</v>
      </c>
      <c r="L682">
        <v>3.2</v>
      </c>
      <c r="M682">
        <v>0</v>
      </c>
      <c r="N682">
        <f>LN(1+Table1[[#This Row],[Redness]])</f>
        <v>5.0803204098591417</v>
      </c>
      <c r="O682">
        <f>LN(1+Table1[[#This Row],[Greeness]])</f>
        <v>4.5383098162842712</v>
      </c>
      <c r="P682">
        <f>LN(1+Table1[[#This Row],[Blueness]])</f>
        <v>2.7572723287983312</v>
      </c>
      <c r="Q682">
        <f>LN(1+Table1[[#This Row],[L* lab]])</f>
        <v>3.849279525136482</v>
      </c>
      <c r="R682">
        <f>LN(1+Table1[[#This Row],[a* lab]]+128)</f>
        <v>5.0192276778557527</v>
      </c>
      <c r="S682">
        <f>LN(1+Table1[[#This Row],[b* lab]]+128)</f>
        <v>5.1909284461650103</v>
      </c>
      <c r="T682">
        <f>LN(1+Table1[[#This Row],[Hue]])</f>
        <v>3.5015801879712631</v>
      </c>
      <c r="U682">
        <f>LN(1+Table1[[#This Row],[Saturation]])</f>
        <v>4.5192520106550171</v>
      </c>
      <c r="V682">
        <f>LN(1+Table1[[#This Row],[Value]])</f>
        <v>4.1538186740886776</v>
      </c>
    </row>
    <row r="683" spans="1:23" x14ac:dyDescent="0.3">
      <c r="A683">
        <v>400</v>
      </c>
      <c r="B683">
        <v>158.610133330412</v>
      </c>
      <c r="C683">
        <v>92.610112519580198</v>
      </c>
      <c r="D683">
        <v>16.609763654377801</v>
      </c>
      <c r="E683">
        <v>45.815399954130399</v>
      </c>
      <c r="F683">
        <v>21.749853339093299</v>
      </c>
      <c r="G683">
        <v>49.906848794512698</v>
      </c>
      <c r="H683">
        <v>32.112739863392903</v>
      </c>
      <c r="I683">
        <v>89.527930337353197</v>
      </c>
      <c r="J683">
        <v>62.200052286436403</v>
      </c>
      <c r="K683" t="s">
        <v>6</v>
      </c>
      <c r="L683">
        <v>3.2</v>
      </c>
      <c r="M683">
        <v>0</v>
      </c>
      <c r="N683">
        <f>LN(1+Table1[[#This Row],[Redness]])</f>
        <v>5.0727341750453618</v>
      </c>
      <c r="O683">
        <f>LN(1+Table1[[#This Row],[Greeness]])</f>
        <v>4.5391384173867788</v>
      </c>
      <c r="P683">
        <f>LN(1+Table1[[#This Row],[Blueness]])</f>
        <v>2.8684535013151438</v>
      </c>
      <c r="Q683">
        <f>LN(1+Table1[[#This Row],[L* lab]])</f>
        <v>3.8462122076445522</v>
      </c>
      <c r="R683">
        <f>LN(1+Table1[[#This Row],[a* lab]]+128)</f>
        <v>5.0156218627318188</v>
      </c>
      <c r="S683">
        <f>LN(1+Table1[[#This Row],[b* lab]]+128)</f>
        <v>5.1868652725908087</v>
      </c>
      <c r="T683">
        <f>LN(1+Table1[[#This Row],[Hue]])</f>
        <v>3.4999180984645268</v>
      </c>
      <c r="U683">
        <f>LN(1+Table1[[#This Row],[Saturation]])</f>
        <v>4.5056584256039391</v>
      </c>
      <c r="V683">
        <f>LN(1+Table1[[#This Row],[Value]])</f>
        <v>4.1463051284695016</v>
      </c>
    </row>
    <row r="684" spans="1:23" x14ac:dyDescent="0.3">
      <c r="A684">
        <v>400</v>
      </c>
      <c r="B684">
        <v>158.89777777485199</v>
      </c>
      <c r="C684">
        <v>92.897756899377697</v>
      </c>
      <c r="D684">
        <v>17.191795144706902</v>
      </c>
      <c r="E684">
        <v>45.926293913818498</v>
      </c>
      <c r="F684">
        <v>21.7286397165579</v>
      </c>
      <c r="G684">
        <v>49.833891542410399</v>
      </c>
      <c r="H684">
        <v>32.0548054568442</v>
      </c>
      <c r="I684">
        <v>89.180594351000494</v>
      </c>
      <c r="J684">
        <v>62.312854029353701</v>
      </c>
      <c r="K684" t="s">
        <v>6</v>
      </c>
      <c r="L684">
        <v>3.2</v>
      </c>
      <c r="M684">
        <v>0</v>
      </c>
      <c r="N684">
        <f>LN(1+Table1[[#This Row],[Redness]])</f>
        <v>5.0745347221501653</v>
      </c>
      <c r="O684">
        <f>LN(1+Table1[[#This Row],[Greeness]])</f>
        <v>4.5422064977433489</v>
      </c>
      <c r="P684">
        <f>LN(1+Table1[[#This Row],[Blueness]])</f>
        <v>2.9009706762096688</v>
      </c>
      <c r="Q684">
        <f>LN(1+Table1[[#This Row],[L* lab]])</f>
        <v>3.8485781561748547</v>
      </c>
      <c r="R684">
        <f>LN(1+Table1[[#This Row],[a* lab]]+128)</f>
        <v>5.0154811321453323</v>
      </c>
      <c r="S684">
        <f>LN(1+Table1[[#This Row],[b* lab]]+128)</f>
        <v>5.186457394790561</v>
      </c>
      <c r="T684">
        <f>LN(1+Table1[[#This Row],[Hue]])</f>
        <v>3.4981669553301402</v>
      </c>
      <c r="U684">
        <f>LN(1+Table1[[#This Row],[Saturation]])</f>
        <v>4.5018142636897878</v>
      </c>
      <c r="V684">
        <f>LN(1+Table1[[#This Row],[Value]])</f>
        <v>4.1480883737698324</v>
      </c>
    </row>
    <row r="685" spans="1:23" x14ac:dyDescent="0.3">
      <c r="A685">
        <v>400</v>
      </c>
      <c r="B685">
        <v>157.47679999709999</v>
      </c>
      <c r="C685">
        <v>91.476779440958893</v>
      </c>
      <c r="D685">
        <v>15.9031127154473</v>
      </c>
      <c r="E685">
        <v>45.385413288594698</v>
      </c>
      <c r="F685">
        <v>21.868947109299899</v>
      </c>
      <c r="G685">
        <v>49.714134362142701</v>
      </c>
      <c r="H685">
        <v>32.028691846598001</v>
      </c>
      <c r="I685">
        <v>89.901298022476794</v>
      </c>
      <c r="J685">
        <v>61.755607842000103</v>
      </c>
      <c r="K685" t="s">
        <v>6</v>
      </c>
      <c r="L685">
        <v>3.2</v>
      </c>
      <c r="M685">
        <v>0</v>
      </c>
      <c r="N685">
        <f>LN(1+Table1[[#This Row],[Redness]])</f>
        <v>5.0656082103458271</v>
      </c>
      <c r="O685">
        <f>LN(1+Table1[[#This Row],[Greeness]])</f>
        <v>4.5269575799335895</v>
      </c>
      <c r="P685">
        <f>LN(1+Table1[[#This Row],[Blueness]])</f>
        <v>2.8274977893151676</v>
      </c>
      <c r="Q685">
        <f>LN(1+Table1[[#This Row],[L* lab]])</f>
        <v>3.8369850410276993</v>
      </c>
      <c r="R685">
        <f>LN(1+Table1[[#This Row],[a* lab]]+128)</f>
        <v>5.0164115600333039</v>
      </c>
      <c r="S685">
        <f>LN(1+Table1[[#This Row],[b* lab]]+128)</f>
        <v>5.185787514516754</v>
      </c>
      <c r="T685">
        <f>LN(1+Table1[[#This Row],[Hue]])</f>
        <v>3.4973766336107697</v>
      </c>
      <c r="U685">
        <f>LN(1+Table1[[#This Row],[Saturation]])</f>
        <v>4.5097742807566918</v>
      </c>
      <c r="V685">
        <f>LN(1+Table1[[#This Row],[Value]])</f>
        <v>4.1392479420188133</v>
      </c>
    </row>
    <row r="686" spans="1:23" x14ac:dyDescent="0.3">
      <c r="A686">
        <v>400</v>
      </c>
      <c r="B686">
        <v>157.929777774869</v>
      </c>
      <c r="C686">
        <v>91.929757116931796</v>
      </c>
      <c r="D686">
        <v>16.889401874991002</v>
      </c>
      <c r="E686">
        <v>45.560355030849898</v>
      </c>
      <c r="F686">
        <v>21.836865916400299</v>
      </c>
      <c r="G686">
        <v>49.579930040011199</v>
      </c>
      <c r="H686">
        <v>31.9229248063874</v>
      </c>
      <c r="I686">
        <v>89.305752143166401</v>
      </c>
      <c r="J686">
        <v>61.9332461862234</v>
      </c>
      <c r="K686" t="s">
        <v>6</v>
      </c>
      <c r="L686">
        <v>3.2</v>
      </c>
      <c r="M686">
        <v>0</v>
      </c>
      <c r="N686">
        <f>LN(1+Table1[[#This Row],[Redness]])</f>
        <v>5.0684624554498319</v>
      </c>
      <c r="O686">
        <f>LN(1+Table1[[#This Row],[Greeness]])</f>
        <v>4.5318439079527018</v>
      </c>
      <c r="P686">
        <f>LN(1+Table1[[#This Row],[Blueness]])</f>
        <v>2.8842084634788212</v>
      </c>
      <c r="Q686">
        <f>LN(1+Table1[[#This Row],[L* lab]])</f>
        <v>3.8407494286271411</v>
      </c>
      <c r="R686">
        <f>LN(1+Table1[[#This Row],[a* lab]]+128)</f>
        <v>5.0161988946378395</v>
      </c>
      <c r="S686">
        <f>LN(1+Table1[[#This Row],[b* lab]]+128)</f>
        <v>5.1850362883318608</v>
      </c>
      <c r="T686">
        <f>LN(1+Table1[[#This Row],[Hue]])</f>
        <v>3.4941692177428481</v>
      </c>
      <c r="U686">
        <f>LN(1+Table1[[#This Row],[Saturation]])</f>
        <v>4.5032011587614491</v>
      </c>
      <c r="V686">
        <f>LN(1+Table1[[#This Row],[Value]])</f>
        <v>4.1420745802895258</v>
      </c>
    </row>
    <row r="687" spans="1:23" x14ac:dyDescent="0.3">
      <c r="A687">
        <v>400</v>
      </c>
      <c r="B687">
        <v>157.64533333042999</v>
      </c>
      <c r="C687">
        <v>90.034290876263597</v>
      </c>
      <c r="D687">
        <v>13.2142836710892</v>
      </c>
      <c r="E687">
        <v>45.059146424668199</v>
      </c>
      <c r="F687">
        <v>22.699753847399201</v>
      </c>
      <c r="G687">
        <v>50.244022450377301</v>
      </c>
      <c r="H687">
        <v>31.912808521310499</v>
      </c>
      <c r="I687">
        <v>91.617713387435501</v>
      </c>
      <c r="J687">
        <v>61.8216993452669</v>
      </c>
      <c r="K687" t="s">
        <v>6</v>
      </c>
      <c r="L687">
        <v>3.2</v>
      </c>
      <c r="M687">
        <v>0</v>
      </c>
      <c r="N687">
        <f>LN(1+Table1[[#This Row],[Redness]])</f>
        <v>5.0666711027237765</v>
      </c>
      <c r="O687">
        <f>LN(1+Table1[[#This Row],[Greeness]])</f>
        <v>4.5112362583530468</v>
      </c>
      <c r="P687">
        <f>LN(1+Table1[[#This Row],[Blueness]])</f>
        <v>2.654247351366755</v>
      </c>
      <c r="Q687">
        <f>LN(1+Table1[[#This Row],[L* lab]])</f>
        <v>3.8299263624072797</v>
      </c>
      <c r="R687">
        <f>LN(1+Table1[[#This Row],[a* lab]]+128)</f>
        <v>5.0219032637256102</v>
      </c>
      <c r="S687">
        <f>LN(1+Table1[[#This Row],[b* lab]]+128)</f>
        <v>5.188748131366518</v>
      </c>
      <c r="T687">
        <f>LN(1+Table1[[#This Row],[Hue]])</f>
        <v>3.4938618987643788</v>
      </c>
      <c r="U687">
        <f>LN(1+Table1[[#This Row],[Saturation]])</f>
        <v>4.5284804126398326</v>
      </c>
      <c r="V687">
        <f>LN(1+Table1[[#This Row],[Value]])</f>
        <v>4.1403005447676611</v>
      </c>
    </row>
    <row r="688" spans="1:23" x14ac:dyDescent="0.3">
      <c r="A688">
        <v>400</v>
      </c>
      <c r="B688">
        <v>157.065599997108</v>
      </c>
      <c r="C688">
        <v>90.263801935792998</v>
      </c>
      <c r="D688">
        <v>14.400923927029099</v>
      </c>
      <c r="E688">
        <v>45.035197403262302</v>
      </c>
      <c r="F688">
        <v>22.338600663808599</v>
      </c>
      <c r="G688">
        <v>49.848370960594799</v>
      </c>
      <c r="H688">
        <v>31.9053938642102</v>
      </c>
      <c r="I688">
        <v>90.831268000571498</v>
      </c>
      <c r="J688">
        <v>61.594352940042299</v>
      </c>
      <c r="K688" t="s">
        <v>6</v>
      </c>
      <c r="L688">
        <v>3.2</v>
      </c>
      <c r="M688">
        <v>0</v>
      </c>
      <c r="N688">
        <f>LN(1+Table1[[#This Row],[Redness]])</f>
        <v>5.063010136714623</v>
      </c>
      <c r="O688">
        <f>LN(1+Table1[[#This Row],[Greeness]])</f>
        <v>4.5137542351157363</v>
      </c>
      <c r="P688">
        <f>LN(1+Table1[[#This Row],[Blueness]])</f>
        <v>2.7344275028815694</v>
      </c>
      <c r="Q688">
        <f>LN(1+Table1[[#This Row],[L* lab]])</f>
        <v>3.8294062648431884</v>
      </c>
      <c r="R688">
        <f>LN(1+Table1[[#This Row],[a* lab]]+128)</f>
        <v>5.0195197149160329</v>
      </c>
      <c r="S688">
        <f>LN(1+Table1[[#This Row],[b* lab]]+128)</f>
        <v>5.1865383572519974</v>
      </c>
      <c r="T688">
        <f>LN(1+Table1[[#This Row],[Hue]])</f>
        <v>3.4936365915738774</v>
      </c>
      <c r="U688">
        <f>LN(1+Table1[[#This Row],[Saturation]])</f>
        <v>4.5199528496600294</v>
      </c>
      <c r="V688">
        <f>LN(1+Table1[[#This Row],[Value]])</f>
        <v>4.1366750654114881</v>
      </c>
    </row>
    <row r="689" spans="1:23" x14ac:dyDescent="0.3">
      <c r="A689">
        <v>400</v>
      </c>
      <c r="B689">
        <v>157.27911110821501</v>
      </c>
      <c r="C689">
        <v>90.932424007745098</v>
      </c>
      <c r="D689">
        <v>16.736338615011402</v>
      </c>
      <c r="E689">
        <v>45.232575961075703</v>
      </c>
      <c r="F689">
        <v>22.106387056293102</v>
      </c>
      <c r="G689">
        <v>49.327151724081403</v>
      </c>
      <c r="H689">
        <v>31.675518026224299</v>
      </c>
      <c r="I689">
        <v>89.358829346704496</v>
      </c>
      <c r="J689">
        <v>61.678082787535303</v>
      </c>
      <c r="K689" t="s">
        <v>6</v>
      </c>
      <c r="L689">
        <v>3.2</v>
      </c>
      <c r="M689">
        <v>0</v>
      </c>
      <c r="N689">
        <f>LN(1+Table1[[#This Row],[Redness]])</f>
        <v>5.0643600005563885</v>
      </c>
      <c r="O689">
        <f>LN(1+Table1[[#This Row],[Greeness]])</f>
        <v>4.5210537855008956</v>
      </c>
      <c r="P689">
        <f>LN(1+Table1[[#This Row],[Blueness]])</f>
        <v>2.8756155640922598</v>
      </c>
      <c r="Q689">
        <f>LN(1+Table1[[#This Row],[L* lab]])</f>
        <v>3.8336846569988663</v>
      </c>
      <c r="R689">
        <f>LN(1+Table1[[#This Row],[a* lab]]+128)</f>
        <v>5.0179841387777353</v>
      </c>
      <c r="S689">
        <f>LN(1+Table1[[#This Row],[b* lab]]+128)</f>
        <v>5.1836197943976634</v>
      </c>
      <c r="T689">
        <f>LN(1+Table1[[#This Row],[Hue]])</f>
        <v>3.4866261132858929</v>
      </c>
      <c r="U689">
        <f>LN(1+Table1[[#This Row],[Saturation]])</f>
        <v>4.5037887360787892</v>
      </c>
      <c r="V689">
        <f>LN(1+Table1[[#This Row],[Value]])</f>
        <v>4.1380118297120303</v>
      </c>
    </row>
    <row r="690" spans="1:23" x14ac:dyDescent="0.3">
      <c r="A690">
        <v>500</v>
      </c>
      <c r="B690">
        <v>155.950933330461</v>
      </c>
      <c r="C690">
        <v>89.817579813857407</v>
      </c>
      <c r="D690">
        <v>2.44396782750038</v>
      </c>
      <c r="E690">
        <v>44.735890689124602</v>
      </c>
      <c r="F690">
        <v>21.887743703799501</v>
      </c>
      <c r="G690">
        <v>52.618002113261802</v>
      </c>
      <c r="H690">
        <v>34.151002216770998</v>
      </c>
      <c r="I690">
        <v>98.432861044619898</v>
      </c>
      <c r="J690">
        <v>61.157228757043796</v>
      </c>
      <c r="K690" t="s">
        <v>6</v>
      </c>
      <c r="L690">
        <v>4</v>
      </c>
      <c r="M690">
        <v>0</v>
      </c>
      <c r="N690">
        <f>LN(1+Table1[[#This Row],[Redness]])</f>
        <v>5.0559332299441326</v>
      </c>
      <c r="O690">
        <f>LN(1+Table1[[#This Row],[Greeness]])</f>
        <v>4.508852877151968</v>
      </c>
      <c r="P690">
        <f>LN(1+Table1[[#This Row],[Blueness]])</f>
        <v>1.2366242449133669</v>
      </c>
      <c r="Q690">
        <f>LN(1+Table1[[#This Row],[L* lab]])</f>
        <v>3.8228833439186838</v>
      </c>
      <c r="R690">
        <f>LN(1+Table1[[#This Row],[a* lab]]+128)</f>
        <v>5.0165361411617182</v>
      </c>
      <c r="S690">
        <f>LN(1+Table1[[#This Row],[b* lab]]+128)</f>
        <v>5.2019055918337171</v>
      </c>
      <c r="T690">
        <f>LN(1+Table1[[#This Row],[Hue]])</f>
        <v>3.5596531304183632</v>
      </c>
      <c r="U690">
        <f>LN(1+Table1[[#This Row],[Saturation]])</f>
        <v>4.5994826530386295</v>
      </c>
      <c r="V690">
        <f>LN(1+Table1[[#This Row],[Value]])</f>
        <v>4.1296671226499262</v>
      </c>
    </row>
    <row r="691" spans="1:23" x14ac:dyDescent="0.3">
      <c r="A691">
        <v>500</v>
      </c>
      <c r="B691">
        <v>155.529422219358</v>
      </c>
      <c r="C691">
        <v>86.738647172501899</v>
      </c>
      <c r="D691">
        <v>2.8230205021400399</v>
      </c>
      <c r="E691">
        <v>43.948449591412398</v>
      </c>
      <c r="F691">
        <v>23.4384000342292</v>
      </c>
      <c r="G691">
        <v>51.969517552467799</v>
      </c>
      <c r="H691">
        <v>32.971359049801997</v>
      </c>
      <c r="I691">
        <v>98.184896168289896</v>
      </c>
      <c r="J691">
        <v>60.991930282101301</v>
      </c>
      <c r="K691" t="s">
        <v>6</v>
      </c>
      <c r="L691">
        <v>4</v>
      </c>
      <c r="M691">
        <v>0</v>
      </c>
      <c r="N691">
        <f>LN(1+Table1[[#This Row],[Redness]])</f>
        <v>5.0532439937118072</v>
      </c>
      <c r="O691">
        <f>LN(1+Table1[[#This Row],[Greeness]])</f>
        <v>4.4743624770245098</v>
      </c>
      <c r="P691">
        <f>LN(1+Table1[[#This Row],[Blueness]])</f>
        <v>1.3410408175406072</v>
      </c>
      <c r="Q691">
        <f>LN(1+Table1[[#This Row],[L* lab]])</f>
        <v>3.8055162684743267</v>
      </c>
      <c r="R691">
        <f>LN(1+Table1[[#This Row],[a* lab]]+128)</f>
        <v>5.0267605802422954</v>
      </c>
      <c r="S691">
        <f>LN(1+Table1[[#This Row],[b* lab]]+128)</f>
        <v>5.1983286057707154</v>
      </c>
      <c r="T691">
        <f>LN(1+Table1[[#This Row],[Hue]])</f>
        <v>3.5255177887258258</v>
      </c>
      <c r="U691">
        <f>LN(1+Table1[[#This Row],[Saturation]])</f>
        <v>4.5969857463306045</v>
      </c>
      <c r="V691">
        <f>LN(1+Table1[[#This Row],[Value]])</f>
        <v>4.1270042198336663</v>
      </c>
    </row>
    <row r="692" spans="1:23" x14ac:dyDescent="0.3">
      <c r="A692">
        <v>500</v>
      </c>
      <c r="B692">
        <v>156.57171110822799</v>
      </c>
      <c r="C692">
        <v>86.826536041638093</v>
      </c>
      <c r="D692">
        <v>3.2723382795752398</v>
      </c>
      <c r="E692">
        <v>44.118948530265001</v>
      </c>
      <c r="F692">
        <v>23.858315072382101</v>
      </c>
      <c r="G692">
        <v>52.051243965543897</v>
      </c>
      <c r="H692">
        <v>32.702363833720497</v>
      </c>
      <c r="I692">
        <v>97.910006695070606</v>
      </c>
      <c r="J692">
        <v>61.400671022834501</v>
      </c>
      <c r="K692" t="s">
        <v>6</v>
      </c>
      <c r="L692">
        <v>4</v>
      </c>
      <c r="M692">
        <v>0</v>
      </c>
      <c r="N692">
        <f>LN(1+Table1[[#This Row],[Redness]])</f>
        <v>5.0598806632678377</v>
      </c>
      <c r="O692">
        <f>LN(1+Table1[[#This Row],[Greeness]])</f>
        <v>4.4753636877984118</v>
      </c>
      <c r="P692">
        <f>LN(1+Table1[[#This Row],[Blueness]])</f>
        <v>1.4521612838167335</v>
      </c>
      <c r="Q692">
        <f>LN(1+Table1[[#This Row],[L* lab]])</f>
        <v>3.8093023030677546</v>
      </c>
      <c r="R692">
        <f>LN(1+Table1[[#This Row],[a* lab]]+128)</f>
        <v>5.0295114470690612</v>
      </c>
      <c r="S692">
        <f>LN(1+Table1[[#This Row],[b* lab]]+128)</f>
        <v>5.1987801070278357</v>
      </c>
      <c r="T692">
        <f>LN(1+Table1[[#This Row],[Hue]])</f>
        <v>3.5175679783322229</v>
      </c>
      <c r="U692">
        <f>LN(1+Table1[[#This Row],[Saturation]])</f>
        <v>4.5942104134402575</v>
      </c>
      <c r="V692">
        <f>LN(1+Table1[[#This Row],[Value]])</f>
        <v>4.1335760288886281</v>
      </c>
    </row>
    <row r="693" spans="1:23" x14ac:dyDescent="0.3">
      <c r="A693">
        <v>500</v>
      </c>
      <c r="B693">
        <v>155.45955555269299</v>
      </c>
      <c r="C693">
        <v>86.164069523858203</v>
      </c>
      <c r="D693">
        <v>3.1819958458575699</v>
      </c>
      <c r="E693">
        <v>43.802244279524899</v>
      </c>
      <c r="F693">
        <v>23.736183446955501</v>
      </c>
      <c r="G693">
        <v>51.785965587678902</v>
      </c>
      <c r="H693">
        <v>32.696376473759102</v>
      </c>
      <c r="I693">
        <v>97.953168054195899</v>
      </c>
      <c r="J693">
        <v>60.964531589291397</v>
      </c>
      <c r="K693" t="s">
        <v>6</v>
      </c>
      <c r="L693">
        <v>4</v>
      </c>
      <c r="M693">
        <v>0</v>
      </c>
      <c r="N693">
        <f>LN(1+Table1[[#This Row],[Redness]])</f>
        <v>5.0527975456079615</v>
      </c>
      <c r="O693">
        <f>LN(1+Table1[[#This Row],[Greeness]])</f>
        <v>4.4677921992556016</v>
      </c>
      <c r="P693">
        <f>LN(1+Table1[[#This Row],[Blueness]])</f>
        <v>1.4307886076672516</v>
      </c>
      <c r="Q693">
        <f>LN(1+Table1[[#This Row],[L* lab]])</f>
        <v>3.80225823369131</v>
      </c>
      <c r="R693">
        <f>LN(1+Table1[[#This Row],[a* lab]]+128)</f>
        <v>5.0287121418949123</v>
      </c>
      <c r="S693">
        <f>LN(1+Table1[[#This Row],[b* lab]]+128)</f>
        <v>5.1973138209832275</v>
      </c>
      <c r="T693">
        <f>LN(1+Table1[[#This Row],[Hue]])</f>
        <v>3.5173903085434457</v>
      </c>
      <c r="U693">
        <f>LN(1+Table1[[#This Row],[Saturation]])</f>
        <v>4.5946466882535431</v>
      </c>
      <c r="V693">
        <f>LN(1+Table1[[#This Row],[Value]])</f>
        <v>4.1265621502095025</v>
      </c>
    </row>
    <row r="694" spans="1:23" x14ac:dyDescent="0.3">
      <c r="A694">
        <v>500</v>
      </c>
      <c r="B694">
        <v>153.37988888606401</v>
      </c>
      <c r="C694">
        <v>85.763869613801504</v>
      </c>
      <c r="D694">
        <v>5.4701004756957499</v>
      </c>
      <c r="E694">
        <v>43.417372528753098</v>
      </c>
      <c r="F694">
        <v>23.075293260778899</v>
      </c>
      <c r="G694">
        <v>50.779479611893997</v>
      </c>
      <c r="H694">
        <v>32.571381516144498</v>
      </c>
      <c r="I694">
        <v>96.433626001803106</v>
      </c>
      <c r="J694">
        <v>60.148976033750799</v>
      </c>
      <c r="K694" t="s">
        <v>6</v>
      </c>
      <c r="L694">
        <v>4</v>
      </c>
      <c r="M694">
        <v>0</v>
      </c>
      <c r="N694">
        <f>LN(1+Table1[[#This Row],[Redness]])</f>
        <v>5.039416375778373</v>
      </c>
      <c r="O694">
        <f>LN(1+Table1[[#This Row],[Greeness]])</f>
        <v>4.4631902863218489</v>
      </c>
      <c r="P694">
        <f>LN(1+Table1[[#This Row],[Blueness]])</f>
        <v>1.8671916378660689</v>
      </c>
      <c r="Q694">
        <f>LN(1+Table1[[#This Row],[L* lab]])</f>
        <v>3.7936306660809085</v>
      </c>
      <c r="R694">
        <f>LN(1+Table1[[#This Row],[a* lab]]+128)</f>
        <v>5.0243757486006286</v>
      </c>
      <c r="S694">
        <f>LN(1+Table1[[#This Row],[b* lab]]+128)</f>
        <v>5.1917309865582073</v>
      </c>
      <c r="T694">
        <f>LN(1+Table1[[#This Row],[Hue]])</f>
        <v>3.5136739634411036</v>
      </c>
      <c r="U694">
        <f>LN(1+Table1[[#This Row],[Saturation]])</f>
        <v>4.5791713872263422</v>
      </c>
      <c r="V694">
        <f>LN(1+Table1[[#This Row],[Value]])</f>
        <v>4.1133131168376371</v>
      </c>
    </row>
    <row r="695" spans="1:23" x14ac:dyDescent="0.3">
      <c r="A695">
        <v>500</v>
      </c>
      <c r="B695">
        <v>151.60267777498601</v>
      </c>
      <c r="C695">
        <v>84.548436553631902</v>
      </c>
      <c r="D695">
        <v>4.9975443265817203</v>
      </c>
      <c r="E695">
        <v>42.875657866925202</v>
      </c>
      <c r="F695">
        <v>22.962530186753199</v>
      </c>
      <c r="G695">
        <v>50.407283597223298</v>
      </c>
      <c r="H695">
        <v>32.557206022412601</v>
      </c>
      <c r="I695">
        <v>96.703525030079405</v>
      </c>
      <c r="J695">
        <v>59.452030499994599</v>
      </c>
      <c r="K695" t="s">
        <v>6</v>
      </c>
      <c r="L695">
        <v>4</v>
      </c>
      <c r="M695">
        <v>0</v>
      </c>
      <c r="N695">
        <f>LN(1+Table1[[#This Row],[Redness]])</f>
        <v>5.0278376663699627</v>
      </c>
      <c r="O695">
        <f>LN(1+Table1[[#This Row],[Greeness]])</f>
        <v>4.4490827249360461</v>
      </c>
      <c r="P695">
        <f>LN(1+Table1[[#This Row],[Blueness]])</f>
        <v>1.7913501065475386</v>
      </c>
      <c r="Q695">
        <f>LN(1+Table1[[#This Row],[L* lab]])</f>
        <v>3.7813596757915726</v>
      </c>
      <c r="R695">
        <f>LN(1+Table1[[#This Row],[a* lab]]+128)</f>
        <v>5.0236339785279611</v>
      </c>
      <c r="S695">
        <f>LN(1+Table1[[#This Row],[b* lab]]+128)</f>
        <v>5.1896585485621047</v>
      </c>
      <c r="T695">
        <f>LN(1+Table1[[#This Row],[Hue]])</f>
        <v>3.5132516249274426</v>
      </c>
      <c r="U695">
        <f>LN(1+Table1[[#This Row],[Saturation]])</f>
        <v>4.581937638541973</v>
      </c>
      <c r="V695">
        <f>LN(1+Table1[[#This Row],[Value]])</f>
        <v>4.1018501662401796</v>
      </c>
    </row>
    <row r="696" spans="1:23" x14ac:dyDescent="0.3">
      <c r="A696">
        <v>500</v>
      </c>
      <c r="B696">
        <v>155.16033333047599</v>
      </c>
      <c r="C696">
        <v>85.257203061006095</v>
      </c>
      <c r="D696">
        <v>2.9218238586563801</v>
      </c>
      <c r="E696">
        <v>43.551841722366397</v>
      </c>
      <c r="F696">
        <v>24.106959246681999</v>
      </c>
      <c r="G696">
        <v>51.648306039819097</v>
      </c>
      <c r="H696">
        <v>32.449889119910303</v>
      </c>
      <c r="I696">
        <v>98.116900243805702</v>
      </c>
      <c r="J696">
        <v>60.847189541363299</v>
      </c>
      <c r="K696" t="s">
        <v>6</v>
      </c>
      <c r="L696">
        <v>4</v>
      </c>
      <c r="M696">
        <v>0</v>
      </c>
      <c r="N696">
        <f>LN(1+Table1[[#This Row],[Redness]])</f>
        <v>5.0508832572070483</v>
      </c>
      <c r="O696">
        <f>LN(1+Table1[[#This Row],[Greeness]])</f>
        <v>4.4573335661751852</v>
      </c>
      <c r="P696">
        <f>LN(1+Table1[[#This Row],[Blueness]])</f>
        <v>1.3665568156632188</v>
      </c>
      <c r="Q696">
        <f>LN(1+Table1[[#This Row],[L* lab]])</f>
        <v>3.796653493631712</v>
      </c>
      <c r="R696">
        <f>LN(1+Table1[[#This Row],[a* lab]]+128)</f>
        <v>5.0311367571934786</v>
      </c>
      <c r="S696">
        <f>LN(1+Table1[[#This Row],[b* lab]]+128)</f>
        <v>5.1965520805212817</v>
      </c>
      <c r="T696">
        <f>LN(1+Table1[[#This Row],[Hue]])</f>
        <v>3.5100484717678557</v>
      </c>
      <c r="U696">
        <f>LN(1+Table1[[#This Row],[Saturation]])</f>
        <v>4.5962999640696331</v>
      </c>
      <c r="V696">
        <f>LN(1+Table1[[#This Row],[Value]])</f>
        <v>4.1246666578927877</v>
      </c>
    </row>
    <row r="697" spans="1:23" x14ac:dyDescent="0.3">
      <c r="A697">
        <v>500</v>
      </c>
      <c r="B697">
        <v>151.161599997216</v>
      </c>
      <c r="C697">
        <v>82.770648064293894</v>
      </c>
      <c r="D697">
        <v>3.3941689013578298</v>
      </c>
      <c r="E697">
        <v>42.389530779720801</v>
      </c>
      <c r="F697">
        <v>23.738845612653002</v>
      </c>
      <c r="G697">
        <v>50.498693264020197</v>
      </c>
      <c r="H697">
        <v>32.230300780464901</v>
      </c>
      <c r="I697">
        <v>97.754609039980807</v>
      </c>
      <c r="J697">
        <v>59.279058822437896</v>
      </c>
      <c r="K697" t="s">
        <v>6</v>
      </c>
      <c r="L697">
        <v>4</v>
      </c>
      <c r="M697">
        <v>0</v>
      </c>
      <c r="N697">
        <f>LN(1+Table1[[#This Row],[Redness]])</f>
        <v>5.0249431139706076</v>
      </c>
      <c r="O697">
        <f>LN(1+Table1[[#This Row],[Greeness]])</f>
        <v>4.4280826843694561</v>
      </c>
      <c r="P697">
        <f>LN(1+Table1[[#This Row],[Blueness]])</f>
        <v>1.4802784123128294</v>
      </c>
      <c r="Q697">
        <f>LN(1+Table1[[#This Row],[L* lab]])</f>
        <v>3.7702181857329076</v>
      </c>
      <c r="R697">
        <f>LN(1+Table1[[#This Row],[a* lab]]+128)</f>
        <v>5.0287295715729172</v>
      </c>
      <c r="S697">
        <f>LN(1+Table1[[#This Row],[b* lab]]+128)</f>
        <v>5.1901679280356525</v>
      </c>
      <c r="T697">
        <f>LN(1+Table1[[#This Row],[Hue]])</f>
        <v>3.5034621337990535</v>
      </c>
      <c r="U697">
        <f>LN(1+Table1[[#This Row],[Saturation]])</f>
        <v>4.5926380765146328</v>
      </c>
      <c r="V697">
        <f>LN(1+Table1[[#This Row],[Value]])</f>
        <v>4.0989847602063758</v>
      </c>
    </row>
    <row r="698" spans="1:23" x14ac:dyDescent="0.3">
      <c r="A698">
        <v>500</v>
      </c>
      <c r="B698">
        <v>152.51880555274701</v>
      </c>
      <c r="C698">
        <v>83.938075579696999</v>
      </c>
      <c r="D698">
        <v>4.7094062951464402</v>
      </c>
      <c r="E698">
        <v>42.863628655219799</v>
      </c>
      <c r="F698">
        <v>23.708199592234401</v>
      </c>
      <c r="G698">
        <v>50.554112553951597</v>
      </c>
      <c r="H698">
        <v>32.161149297334497</v>
      </c>
      <c r="I698">
        <v>96.912245491250104</v>
      </c>
      <c r="J698">
        <v>59.811296295195</v>
      </c>
      <c r="K698" t="s">
        <v>6</v>
      </c>
      <c r="L698">
        <v>4</v>
      </c>
      <c r="M698">
        <v>0</v>
      </c>
      <c r="N698">
        <f>LN(1+Table1[[#This Row],[Redness]])</f>
        <v>5.0338230712675811</v>
      </c>
      <c r="O698">
        <f>LN(1+Table1[[#This Row],[Greeness]])</f>
        <v>4.4419224683969762</v>
      </c>
      <c r="P698">
        <f>LN(1+Table1[[#This Row],[Blueness]])</f>
        <v>1.7421150419303837</v>
      </c>
      <c r="Q698">
        <f>LN(1+Table1[[#This Row],[L* lab]])</f>
        <v>3.7810854722447331</v>
      </c>
      <c r="R698">
        <f>LN(1+Table1[[#This Row],[a* lab]]+128)</f>
        <v>5.0285289081780506</v>
      </c>
      <c r="S698">
        <f>LN(1+Table1[[#This Row],[b* lab]]+128)</f>
        <v>5.1904766251936945</v>
      </c>
      <c r="T698">
        <f>LN(1+Table1[[#This Row],[Hue]])</f>
        <v>3.5013789888140825</v>
      </c>
      <c r="U698">
        <f>LN(1+Table1[[#This Row],[Saturation]])</f>
        <v>4.584071623341071</v>
      </c>
      <c r="V698">
        <f>LN(1+Table1[[#This Row],[Value]])</f>
        <v>4.1077755660433573</v>
      </c>
    </row>
    <row r="699" spans="1:23" x14ac:dyDescent="0.3">
      <c r="A699">
        <v>500</v>
      </c>
      <c r="B699">
        <v>152.07073333053299</v>
      </c>
      <c r="C699">
        <v>82.876225818343499</v>
      </c>
      <c r="D699">
        <v>3.77034941770011</v>
      </c>
      <c r="E699">
        <v>42.551296218021299</v>
      </c>
      <c r="F699">
        <v>24.090161321326701</v>
      </c>
      <c r="G699">
        <v>50.541081720229798</v>
      </c>
      <c r="H699">
        <v>32.004991887467902</v>
      </c>
      <c r="I699">
        <v>97.520660724700306</v>
      </c>
      <c r="J699">
        <v>59.635581698248302</v>
      </c>
      <c r="K699" t="s">
        <v>6</v>
      </c>
      <c r="L699">
        <v>4</v>
      </c>
      <c r="M699">
        <v>0</v>
      </c>
      <c r="N699">
        <f>LN(1+Table1[[#This Row],[Redness]])</f>
        <v>5.030900123910282</v>
      </c>
      <c r="O699">
        <f>LN(1+Table1[[#This Row],[Greeness]])</f>
        <v>4.4293422100088176</v>
      </c>
      <c r="P699">
        <f>LN(1+Table1[[#This Row],[Blueness]])</f>
        <v>1.5624195554039721</v>
      </c>
      <c r="Q699">
        <f>LN(1+Table1[[#This Row],[L* lab]])</f>
        <v>3.7739394667596238</v>
      </c>
      <c r="R699">
        <f>LN(1+Table1[[#This Row],[a* lab]]+128)</f>
        <v>5.0310270375113273</v>
      </c>
      <c r="S699">
        <f>LN(1+Table1[[#This Row],[b* lab]]+128)</f>
        <v>5.1904040492643286</v>
      </c>
      <c r="T699">
        <f>LN(1+Table1[[#This Row],[Hue]])</f>
        <v>3.4966588193436401</v>
      </c>
      <c r="U699">
        <f>LN(1+Table1[[#This Row],[Saturation]])</f>
        <v>4.5902662797330995</v>
      </c>
      <c r="V699">
        <f>LN(1+Table1[[#This Row],[Value]])</f>
        <v>4.1048818775029678</v>
      </c>
    </row>
    <row r="700" spans="1:23" x14ac:dyDescent="0.3">
      <c r="A700">
        <v>500</v>
      </c>
      <c r="B700">
        <v>151.06222221944</v>
      </c>
      <c r="C700">
        <v>82.307181501789501</v>
      </c>
      <c r="D700">
        <v>3.8784025683463201</v>
      </c>
      <c r="E700">
        <v>42.270389274626297</v>
      </c>
      <c r="F700">
        <v>23.964861962849699</v>
      </c>
      <c r="G700">
        <v>50.268690034632201</v>
      </c>
      <c r="H700">
        <v>31.9717666463726</v>
      </c>
      <c r="I700">
        <v>97.432579428950504</v>
      </c>
      <c r="J700">
        <v>59.2400871448787</v>
      </c>
      <c r="K700" t="s">
        <v>6</v>
      </c>
      <c r="L700">
        <v>4</v>
      </c>
      <c r="M700">
        <v>0</v>
      </c>
      <c r="N700">
        <f>LN(1+Table1[[#This Row],[Redness]])</f>
        <v>5.0242897937895208</v>
      </c>
      <c r="O700">
        <f>LN(1+Table1[[#This Row],[Greeness]])</f>
        <v>4.4225347579631888</v>
      </c>
      <c r="P700">
        <f>LN(1+Table1[[#This Row],[Blueness]])</f>
        <v>1.5848178237248043</v>
      </c>
      <c r="Q700">
        <f>LN(1+Table1[[#This Row],[L* lab]])</f>
        <v>3.767468550605531</v>
      </c>
      <c r="R700">
        <f>LN(1+Table1[[#This Row],[a* lab]]+128)</f>
        <v>5.030208234642922</v>
      </c>
      <c r="S700">
        <f>LN(1+Table1[[#This Row],[b* lab]]+128)</f>
        <v>5.1888857420198349</v>
      </c>
      <c r="T700">
        <f>LN(1+Table1[[#This Row],[Hue]])</f>
        <v>3.4956516390988894</v>
      </c>
      <c r="U700">
        <f>LN(1+Table1[[#This Row],[Saturation]])</f>
        <v>4.5893718410170541</v>
      </c>
      <c r="V700">
        <f>LN(1+Table1[[#This Row],[Value]])</f>
        <v>4.0983380301187244</v>
      </c>
    </row>
    <row r="701" spans="1:23" x14ac:dyDescent="0.3">
      <c r="A701">
        <v>500</v>
      </c>
      <c r="B701">
        <v>149.74026666390901</v>
      </c>
      <c r="C701">
        <v>81.055537338647099</v>
      </c>
      <c r="D701">
        <v>2.98375581358717</v>
      </c>
      <c r="E701">
        <v>41.7837705512217</v>
      </c>
      <c r="F701">
        <v>24.067496259545798</v>
      </c>
      <c r="G701">
        <v>50.088558430413599</v>
      </c>
      <c r="H701">
        <v>31.918903388764399</v>
      </c>
      <c r="I701">
        <v>98.007379123823597</v>
      </c>
      <c r="J701">
        <v>58.7216732015331</v>
      </c>
      <c r="K701" t="s">
        <v>6</v>
      </c>
      <c r="L701">
        <v>4</v>
      </c>
      <c r="M701">
        <v>0</v>
      </c>
      <c r="N701">
        <f>LN(1+Table1[[#This Row],[Redness]])</f>
        <v>5.0155582674459271</v>
      </c>
      <c r="O701">
        <f>LN(1+Table1[[#This Row],[Greeness]])</f>
        <v>4.4073963026281815</v>
      </c>
      <c r="P701">
        <f>LN(1+Table1[[#This Row],[Blueness]])</f>
        <v>1.3822250460736458</v>
      </c>
      <c r="Q701">
        <f>LN(1+Table1[[#This Row],[L* lab]])</f>
        <v>3.7561588379475439</v>
      </c>
      <c r="R701">
        <f>LN(1+Table1[[#This Row],[a* lab]]+128)</f>
        <v>5.0308789761366661</v>
      </c>
      <c r="S701">
        <f>LN(1+Table1[[#This Row],[b* lab]]+128)</f>
        <v>5.1878804233320661</v>
      </c>
      <c r="T701">
        <f>LN(1+Table1[[#This Row],[Hue]])</f>
        <v>3.494047063855624</v>
      </c>
      <c r="U701">
        <f>LN(1+Table1[[#This Row],[Saturation]])</f>
        <v>4.5951943839611538</v>
      </c>
      <c r="V701">
        <f>LN(1+Table1[[#This Row],[Value]])</f>
        <v>4.0896949897187813</v>
      </c>
    </row>
    <row r="702" spans="1:23" x14ac:dyDescent="0.3">
      <c r="A702">
        <v>500</v>
      </c>
      <c r="B702">
        <v>188.78696110000001</v>
      </c>
      <c r="C702">
        <v>106.68040379999999</v>
      </c>
      <c r="D702">
        <v>20.158290229999999</v>
      </c>
      <c r="E702">
        <v>53.28049223</v>
      </c>
      <c r="F702">
        <v>27.189775529999999</v>
      </c>
      <c r="G702">
        <v>56.452790229999998</v>
      </c>
      <c r="H702">
        <v>30.785552580000001</v>
      </c>
      <c r="I702">
        <v>89.322202070000003</v>
      </c>
      <c r="J702">
        <v>74.034102399999995</v>
      </c>
      <c r="K702" t="s">
        <v>6</v>
      </c>
      <c r="L702">
        <v>4</v>
      </c>
      <c r="M702">
        <v>0</v>
      </c>
      <c r="N702">
        <f>LN(1+Table1[[#This Row],[Redness]])</f>
        <v>5.2459021857127386</v>
      </c>
      <c r="O702">
        <f>LN(1+Table1[[#This Row],[Greeness]])</f>
        <v>4.6791676158893862</v>
      </c>
      <c r="P702">
        <f>LN(1+Table1[[#This Row],[Blueness]])</f>
        <v>3.052031801740565</v>
      </c>
      <c r="Q702">
        <f>LN(1+Table1[[#This Row],[L* lab]])</f>
        <v>3.994164903274851</v>
      </c>
      <c r="R702">
        <f>LN(1+Table1[[#This Row],[a* lab]]+128)</f>
        <v>5.0510717777087288</v>
      </c>
      <c r="S702">
        <f>LN(1+Table1[[#This Row],[b* lab]]+128)</f>
        <v>5.2228003495490247</v>
      </c>
      <c r="T702">
        <f>LN(1+Table1[[#This Row],[Hue]])</f>
        <v>3.4590118651672546</v>
      </c>
      <c r="U702">
        <f>LN(1+Table1[[#This Row],[Saturation]])</f>
        <v>4.5033833003015085</v>
      </c>
      <c r="V702">
        <f>LN(1+Table1[[#This Row],[Value]])</f>
        <v>4.3179427088588644</v>
      </c>
      <c r="W702" t="s">
        <v>26</v>
      </c>
    </row>
    <row r="703" spans="1:23" x14ac:dyDescent="0.3">
      <c r="A703">
        <v>500</v>
      </c>
      <c r="B703">
        <v>185.67641939999999</v>
      </c>
      <c r="C703">
        <v>102.29124090000001</v>
      </c>
      <c r="D703">
        <v>21.13532682</v>
      </c>
      <c r="E703">
        <v>51.860157719999997</v>
      </c>
      <c r="F703">
        <v>28.265908249999999</v>
      </c>
      <c r="G703">
        <v>54.854525789999997</v>
      </c>
      <c r="H703">
        <v>29.593548739999999</v>
      </c>
      <c r="I703">
        <v>88.617118489999996</v>
      </c>
      <c r="J703">
        <v>72.814282129999995</v>
      </c>
      <c r="K703" t="s">
        <v>6</v>
      </c>
      <c r="L703">
        <v>4</v>
      </c>
      <c r="M703">
        <v>0</v>
      </c>
      <c r="N703">
        <f>LN(1+Table1[[#This Row],[Redness]])</f>
        <v>5.2293767404819835</v>
      </c>
      <c r="O703">
        <f>LN(1+Table1[[#This Row],[Greeness]])</f>
        <v>4.637552579694078</v>
      </c>
      <c r="P703">
        <f>LN(1+Table1[[#This Row],[Blueness]])</f>
        <v>3.0971748309271492</v>
      </c>
      <c r="Q703">
        <f>LN(1+Table1[[#This Row],[L* lab]])</f>
        <v>3.9676498929023007</v>
      </c>
      <c r="R703">
        <f>LN(1+Table1[[#This Row],[a* lab]]+128)</f>
        <v>5.0579380558054945</v>
      </c>
      <c r="S703">
        <f>LN(1+Table1[[#This Row],[b* lab]]+128)</f>
        <v>5.2141448241970814</v>
      </c>
      <c r="T703">
        <f>LN(1+Table1[[#This Row],[Hue]])</f>
        <v>3.4207891612413213</v>
      </c>
      <c r="U703">
        <f>LN(1+Table1[[#This Row],[Saturation]])</f>
        <v>4.4955463563081768</v>
      </c>
      <c r="V703">
        <f>LN(1+Table1[[#This Row],[Value]])</f>
        <v>4.3015522376796671</v>
      </c>
      <c r="W703" t="s">
        <v>26</v>
      </c>
    </row>
    <row r="704" spans="1:23" x14ac:dyDescent="0.3">
      <c r="A704">
        <v>500</v>
      </c>
      <c r="B704">
        <v>180.03044439999999</v>
      </c>
      <c r="C704">
        <v>93.711045609999999</v>
      </c>
      <c r="D704">
        <v>15.08345596</v>
      </c>
      <c r="E704">
        <v>49.129551900000003</v>
      </c>
      <c r="F704">
        <v>30.383557209999999</v>
      </c>
      <c r="G704">
        <v>54.159692540000002</v>
      </c>
      <c r="H704">
        <v>28.601039780000001</v>
      </c>
      <c r="I704">
        <v>91.621719310000003</v>
      </c>
      <c r="J704">
        <v>70.600174289999998</v>
      </c>
      <c r="K704" t="s">
        <v>6</v>
      </c>
      <c r="L704">
        <v>4</v>
      </c>
      <c r="M704">
        <v>0</v>
      </c>
      <c r="N704">
        <f>LN(1+Table1[[#This Row],[Redness]])</f>
        <v>5.1986652182265782</v>
      </c>
      <c r="O704">
        <f>LN(1+Table1[[#This Row],[Greeness]])</f>
        <v>4.5508306312995472</v>
      </c>
      <c r="P704">
        <f>LN(1+Table1[[#This Row],[Blueness]])</f>
        <v>2.7777911635437778</v>
      </c>
      <c r="Q704">
        <f>LN(1+Table1[[#This Row],[L* lab]])</f>
        <v>3.9146106924762352</v>
      </c>
      <c r="R704">
        <f>LN(1+Table1[[#This Row],[a* lab]]+128)</f>
        <v>5.0713136067693503</v>
      </c>
      <c r="S704">
        <f>LN(1+Table1[[#This Row],[b* lab]]+128)</f>
        <v>5.2103584091458615</v>
      </c>
      <c r="T704">
        <f>LN(1+Table1[[#This Row],[Hue]])</f>
        <v>3.3878094884157539</v>
      </c>
      <c r="U704">
        <f>LN(1+Table1[[#This Row],[Saturation]])</f>
        <v>4.528523663933651</v>
      </c>
      <c r="V704">
        <f>LN(1+Table1[[#This Row],[Value]])</f>
        <v>4.2710975081815139</v>
      </c>
      <c r="W704" t="s">
        <v>26</v>
      </c>
    </row>
    <row r="705" spans="1:23" x14ac:dyDescent="0.3">
      <c r="A705">
        <v>500</v>
      </c>
      <c r="B705">
        <v>184.05172780000001</v>
      </c>
      <c r="C705">
        <v>98.040861300000003</v>
      </c>
      <c r="D705">
        <v>19.93848401</v>
      </c>
      <c r="E705">
        <v>50.678852900000003</v>
      </c>
      <c r="F705">
        <v>29.844153469999998</v>
      </c>
      <c r="G705">
        <v>54.214313390000001</v>
      </c>
      <c r="H705">
        <v>28.554323400000001</v>
      </c>
      <c r="I705">
        <v>89.166912879999998</v>
      </c>
      <c r="J705">
        <v>72.177148149999994</v>
      </c>
      <c r="K705" t="s">
        <v>6</v>
      </c>
      <c r="L705">
        <v>4</v>
      </c>
      <c r="M705">
        <v>0</v>
      </c>
      <c r="N705">
        <f>LN(1+Table1[[#This Row],[Redness]])</f>
        <v>5.2206353957245391</v>
      </c>
      <c r="O705">
        <f>LN(1+Table1[[#This Row],[Greeness]])</f>
        <v>4.5955325053847398</v>
      </c>
      <c r="P705">
        <f>LN(1+Table1[[#This Row],[Blueness]])</f>
        <v>3.041588805973475</v>
      </c>
      <c r="Q705">
        <f>LN(1+Table1[[#This Row],[L* lab]])</f>
        <v>3.9450486630205766</v>
      </c>
      <c r="R705">
        <f>LN(1+Table1[[#This Row],[a* lab]]+128)</f>
        <v>5.0679235546872317</v>
      </c>
      <c r="S705">
        <f>LN(1+Table1[[#This Row],[b* lab]]+128)</f>
        <v>5.2106565790461303</v>
      </c>
      <c r="T705">
        <f>LN(1+Table1[[#This Row],[Hue]])</f>
        <v>3.386230041102765</v>
      </c>
      <c r="U705">
        <f>LN(1+Table1[[#This Row],[Saturation]])</f>
        <v>4.5016625402616484</v>
      </c>
      <c r="V705">
        <f>LN(1+Table1[[#This Row],[Value]])</f>
        <v>4.2928831884846073</v>
      </c>
      <c r="W705" t="s">
        <v>26</v>
      </c>
    </row>
    <row r="706" spans="1:23" x14ac:dyDescent="0.3">
      <c r="A706">
        <v>600</v>
      </c>
      <c r="B706">
        <v>147.95786666394201</v>
      </c>
      <c r="C706">
        <v>79.957848696459294</v>
      </c>
      <c r="D706">
        <v>5.8334701660539601</v>
      </c>
      <c r="E706">
        <v>41.2758405131313</v>
      </c>
      <c r="F706">
        <v>23.945585124321301</v>
      </c>
      <c r="G706">
        <v>48.812970892112901</v>
      </c>
      <c r="H706">
        <v>31.292746505279901</v>
      </c>
      <c r="I706">
        <v>96.057343690076607</v>
      </c>
      <c r="J706">
        <v>58.022692809389099</v>
      </c>
      <c r="K706" t="s">
        <v>6</v>
      </c>
      <c r="L706">
        <v>4.8</v>
      </c>
      <c r="M706">
        <v>0</v>
      </c>
      <c r="N706">
        <f>LN(1+Table1[[#This Row],[Redness]])</f>
        <v>5.0036634918898306</v>
      </c>
      <c r="O706">
        <f>LN(1+Table1[[#This Row],[Greeness]])</f>
        <v>4.3939286327609457</v>
      </c>
      <c r="P706">
        <f>LN(1+Table1[[#This Row],[Blueness]])</f>
        <v>1.9218326215763486</v>
      </c>
      <c r="Q706">
        <f>LN(1+Table1[[#This Row],[L* lab]])</f>
        <v>3.744215776624404</v>
      </c>
      <c r="R706">
        <f>LN(1+Table1[[#This Row],[a* lab]]+128)</f>
        <v>5.0300822053507712</v>
      </c>
      <c r="S706">
        <f>LN(1+Table1[[#This Row],[b* lab]]+128)</f>
        <v>5.1807322725680418</v>
      </c>
      <c r="T706">
        <f>LN(1+Table1[[#This Row],[Hue]])</f>
        <v>3.4748426386097981</v>
      </c>
      <c r="U706">
        <f>LN(1+Table1[[#This Row],[Saturation]])</f>
        <v>4.5753019758926623</v>
      </c>
      <c r="V706">
        <f>LN(1+Table1[[#This Row],[Value]])</f>
        <v>4.0779219938448641</v>
      </c>
    </row>
    <row r="707" spans="1:23" x14ac:dyDescent="0.3">
      <c r="A707">
        <v>600</v>
      </c>
      <c r="B707">
        <v>150.03235555279301</v>
      </c>
      <c r="C707">
        <v>81.374915044646002</v>
      </c>
      <c r="D707">
        <v>7.7720936853084899</v>
      </c>
      <c r="E707">
        <v>41.916378137991202</v>
      </c>
      <c r="F707">
        <v>24.100600635346201</v>
      </c>
      <c r="G707">
        <v>48.885020840333098</v>
      </c>
      <c r="H707">
        <v>31.042887336126999</v>
      </c>
      <c r="I707">
        <v>94.819721614932803</v>
      </c>
      <c r="J707">
        <v>58.836217863840403</v>
      </c>
      <c r="K707" t="s">
        <v>6</v>
      </c>
      <c r="L707">
        <v>4.8</v>
      </c>
      <c r="M707">
        <v>0</v>
      </c>
      <c r="N707">
        <f>LN(1+Table1[[#This Row],[Redness]])</f>
        <v>5.0174940890453357</v>
      </c>
      <c r="O707">
        <f>LN(1+Table1[[#This Row],[Greeness]])</f>
        <v>4.4112809614976598</v>
      </c>
      <c r="P707">
        <f>LN(1+Table1[[#This Row],[Blueness]])</f>
        <v>2.1715755105383381</v>
      </c>
      <c r="Q707">
        <f>LN(1+Table1[[#This Row],[L* lab]])</f>
        <v>3.7592535278548733</v>
      </c>
      <c r="R707">
        <f>LN(1+Table1[[#This Row],[a* lab]]+128)</f>
        <v>5.0310952258130044</v>
      </c>
      <c r="S707">
        <f>LN(1+Table1[[#This Row],[b* lab]]+128)</f>
        <v>5.1811373912410748</v>
      </c>
      <c r="T707">
        <f>LN(1+Table1[[#This Row],[Hue]])</f>
        <v>3.4670752347481093</v>
      </c>
      <c r="U707">
        <f>LN(1+Table1[[#This Row],[Saturation]])</f>
        <v>4.5624685261588835</v>
      </c>
      <c r="V707">
        <f>LN(1+Table1[[#This Row],[Value]])</f>
        <v>4.0916111275217038</v>
      </c>
    </row>
    <row r="708" spans="1:23" x14ac:dyDescent="0.3">
      <c r="A708">
        <v>600</v>
      </c>
      <c r="B708">
        <v>152.42435555274901</v>
      </c>
      <c r="C708">
        <v>84.008336675017205</v>
      </c>
      <c r="D708">
        <v>10.807937228482199</v>
      </c>
      <c r="E708">
        <v>42.889277348785399</v>
      </c>
      <c r="F708">
        <v>23.731981818716001</v>
      </c>
      <c r="G708">
        <v>48.939428527931902</v>
      </c>
      <c r="H708">
        <v>31.013522434492302</v>
      </c>
      <c r="I708">
        <v>92.909310858301794</v>
      </c>
      <c r="J708">
        <v>59.774257079509397</v>
      </c>
      <c r="K708" t="s">
        <v>6</v>
      </c>
      <c r="L708">
        <v>4.8</v>
      </c>
      <c r="M708">
        <v>0</v>
      </c>
      <c r="N708">
        <f>LN(1+Table1[[#This Row],[Redness]])</f>
        <v>5.0332076478605972</v>
      </c>
      <c r="O708">
        <f>LN(1+Table1[[#This Row],[Greeness]])</f>
        <v>4.4427493302105461</v>
      </c>
      <c r="P708">
        <f>LN(1+Table1[[#This Row],[Blueness]])</f>
        <v>2.4687719518279128</v>
      </c>
      <c r="Q708">
        <f>LN(1+Table1[[#This Row],[L* lab]])</f>
        <v>3.7816700385107165</v>
      </c>
      <c r="R708">
        <f>LN(1+Table1[[#This Row],[a* lab]]+128)</f>
        <v>5.0286846324604273</v>
      </c>
      <c r="S708">
        <f>LN(1+Table1[[#This Row],[b* lab]]+128)</f>
        <v>5.181443203211666</v>
      </c>
      <c r="T708">
        <f>LN(1+Table1[[#This Row],[Hue]])</f>
        <v>3.4661583896174855</v>
      </c>
      <c r="U708">
        <f>LN(1+Table1[[#This Row],[Saturation]])</f>
        <v>4.5423295384688833</v>
      </c>
      <c r="V708">
        <f>LN(1+Table1[[#This Row],[Value]])</f>
        <v>4.1071662960140927</v>
      </c>
    </row>
    <row r="709" spans="1:23" x14ac:dyDescent="0.3">
      <c r="A709">
        <v>600</v>
      </c>
      <c r="B709">
        <v>184.00004440000001</v>
      </c>
      <c r="C709">
        <v>105.57557629999999</v>
      </c>
      <c r="D709">
        <v>22.640251660000001</v>
      </c>
      <c r="E709">
        <v>52.372665560000002</v>
      </c>
      <c r="F709">
        <v>25.799060409999999</v>
      </c>
      <c r="G709">
        <v>54.705732220000002</v>
      </c>
      <c r="H709">
        <v>30.838658079999998</v>
      </c>
      <c r="I709">
        <v>87.695518379999996</v>
      </c>
      <c r="J709">
        <v>72.156880169999994</v>
      </c>
      <c r="K709" t="s">
        <v>6</v>
      </c>
      <c r="L709" s="3">
        <v>4.8</v>
      </c>
      <c r="M709">
        <v>0</v>
      </c>
      <c r="N709">
        <f>LN(1+Table1[[#This Row],[Redness]])</f>
        <v>5.2203560650782963</v>
      </c>
      <c r="O709">
        <f>LN(1+Table1[[#This Row],[Greeness]])</f>
        <v>4.6688543700961889</v>
      </c>
      <c r="P709">
        <f>LN(1+Table1[[#This Row],[Blueness]])</f>
        <v>3.1629508379973088</v>
      </c>
      <c r="Q709">
        <f>LN(1+Table1[[#This Row],[L* lab]])</f>
        <v>3.9772987340115202</v>
      </c>
      <c r="R709">
        <f>LN(1+Table1[[#This Row],[a* lab]]+128)</f>
        <v>5.0421278914343635</v>
      </c>
      <c r="S709">
        <f>LN(1+Table1[[#This Row],[b* lab]]+128)</f>
        <v>5.2133351959802914</v>
      </c>
      <c r="T709">
        <f>LN(1+Table1[[#This Row],[Hue]])</f>
        <v>3.4606812143593828</v>
      </c>
      <c r="U709">
        <f>LN(1+Table1[[#This Row],[Saturation]])</f>
        <v>4.4852093624471907</v>
      </c>
      <c r="V709">
        <f>LN(1+Table1[[#This Row],[Value]])</f>
        <v>4.2926061786822771</v>
      </c>
      <c r="W709" t="s">
        <v>26</v>
      </c>
    </row>
    <row r="710" spans="1:23" x14ac:dyDescent="0.3">
      <c r="A710">
        <v>600</v>
      </c>
      <c r="B710">
        <v>147.30239999728701</v>
      </c>
      <c r="C710">
        <v>79.302382177106097</v>
      </c>
      <c r="D710">
        <v>7.6622294638596804</v>
      </c>
      <c r="E710">
        <v>41.033153894062302</v>
      </c>
      <c r="F710">
        <v>24.056752088079001</v>
      </c>
      <c r="G710">
        <v>48.087181076553797</v>
      </c>
      <c r="H710">
        <v>30.782038910256102</v>
      </c>
      <c r="I710">
        <v>94.798299644811706</v>
      </c>
      <c r="J710">
        <v>57.765647057759899</v>
      </c>
      <c r="K710" t="s">
        <v>6</v>
      </c>
      <c r="L710">
        <v>4.8</v>
      </c>
      <c r="M710">
        <v>0</v>
      </c>
      <c r="N710">
        <f>LN(1+Table1[[#This Row],[Redness]])</f>
        <v>4.9992534324066451</v>
      </c>
      <c r="O710">
        <f>LN(1+Table1[[#This Row],[Greeness]])</f>
        <v>4.3857992864791422</v>
      </c>
      <c r="P710">
        <f>LN(1+Table1[[#This Row],[Blueness]])</f>
        <v>2.1589721333050633</v>
      </c>
      <c r="Q710">
        <f>LN(1+Table1[[#This Row],[L* lab]])</f>
        <v>3.7384586853181321</v>
      </c>
      <c r="R710">
        <f>LN(1+Table1[[#This Row],[a* lab]]+128)</f>
        <v>5.0308087812956543</v>
      </c>
      <c r="S710">
        <f>LN(1+Table1[[#This Row],[b* lab]]+128)</f>
        <v>5.1766421597667618</v>
      </c>
      <c r="T710">
        <f>LN(1+Table1[[#This Row],[Hue]])</f>
        <v>3.4589013160756465</v>
      </c>
      <c r="U710">
        <f>LN(1+Table1[[#This Row],[Saturation]])</f>
        <v>4.5622449358089829</v>
      </c>
      <c r="V710">
        <f>LN(1+Table1[[#This Row],[Value]])</f>
        <v>4.0735574504619994</v>
      </c>
    </row>
    <row r="711" spans="1:23" x14ac:dyDescent="0.3">
      <c r="A711">
        <v>600</v>
      </c>
      <c r="B711">
        <v>147.047466663959</v>
      </c>
      <c r="C711">
        <v>79.173671094922298</v>
      </c>
      <c r="D711">
        <v>7.96444495975447</v>
      </c>
      <c r="E711">
        <v>40.966510692434802</v>
      </c>
      <c r="F711">
        <v>24.021628858912301</v>
      </c>
      <c r="G711">
        <v>47.9386286154202</v>
      </c>
      <c r="H711">
        <v>30.7194473901835</v>
      </c>
      <c r="I711">
        <v>94.583759149040404</v>
      </c>
      <c r="J711">
        <v>57.6656732015526</v>
      </c>
      <c r="K711" t="s">
        <v>6</v>
      </c>
      <c r="L711">
        <v>4.8</v>
      </c>
      <c r="M711">
        <v>0</v>
      </c>
      <c r="N711">
        <f>LN(1+Table1[[#This Row],[Redness]])</f>
        <v>4.9975329430466502</v>
      </c>
      <c r="O711">
        <f>LN(1+Table1[[#This Row],[Greeness]])</f>
        <v>4.384195170386314</v>
      </c>
      <c r="P711">
        <f>LN(1+Table1[[#This Row],[Blueness]])</f>
        <v>2.1932661932335558</v>
      </c>
      <c r="Q711">
        <f>LN(1+Table1[[#This Row],[L* lab]])</f>
        <v>3.7368719357533982</v>
      </c>
      <c r="R711">
        <f>LN(1+Table1[[#This Row],[a* lab]]+128)</f>
        <v>5.0305792764922623</v>
      </c>
      <c r="S711">
        <f>LN(1+Table1[[#This Row],[b* lab]]+128)</f>
        <v>5.1758029414624156</v>
      </c>
      <c r="T711">
        <f>LN(1+Table1[[#This Row],[Hue]])</f>
        <v>3.4569299751200457</v>
      </c>
      <c r="U711">
        <f>LN(1+Table1[[#This Row],[Saturation]])</f>
        <v>4.5600029222473015</v>
      </c>
      <c r="V711">
        <f>LN(1+Table1[[#This Row],[Value]])</f>
        <v>4.0718547721622151</v>
      </c>
    </row>
    <row r="712" spans="1:23" x14ac:dyDescent="0.3">
      <c r="A712">
        <v>600</v>
      </c>
      <c r="B712">
        <v>147.035555552848</v>
      </c>
      <c r="C712">
        <v>79.147893322938003</v>
      </c>
      <c r="D712">
        <v>8.1477297693236093</v>
      </c>
      <c r="E712">
        <v>40.959173309090602</v>
      </c>
      <c r="F712">
        <v>24.0340558687137</v>
      </c>
      <c r="G712">
        <v>47.885906645218498</v>
      </c>
      <c r="H712">
        <v>30.672305431986899</v>
      </c>
      <c r="I712">
        <v>94.458666994735694</v>
      </c>
      <c r="J712">
        <v>57.661002177587498</v>
      </c>
      <c r="K712" t="s">
        <v>6</v>
      </c>
      <c r="L712">
        <v>4.8</v>
      </c>
      <c r="M712">
        <v>0</v>
      </c>
      <c r="N712">
        <f>LN(1+Table1[[#This Row],[Redness]])</f>
        <v>4.9974524851329996</v>
      </c>
      <c r="O712">
        <f>LN(1+Table1[[#This Row],[Greeness]])</f>
        <v>4.3838735945296898</v>
      </c>
      <c r="P712">
        <f>LN(1+Table1[[#This Row],[Blueness]])</f>
        <v>2.2135057358601675</v>
      </c>
      <c r="Q712">
        <f>LN(1+Table1[[#This Row],[L* lab]])</f>
        <v>3.7366970814534257</v>
      </c>
      <c r="R712">
        <f>LN(1+Table1[[#This Row],[a* lab]]+128)</f>
        <v>5.0306604840007543</v>
      </c>
      <c r="S712">
        <f>LN(1+Table1[[#This Row],[b* lab]]+128)</f>
        <v>5.1755049295082527</v>
      </c>
      <c r="T712">
        <f>LN(1+Table1[[#This Row],[Hue]])</f>
        <v>3.4554426533537845</v>
      </c>
      <c r="U712">
        <f>LN(1+Table1[[#This Row],[Saturation]])</f>
        <v>4.5586933474611424</v>
      </c>
      <c r="V712">
        <f>LN(1+Table1[[#This Row],[Value]])</f>
        <v>4.0717751479173021</v>
      </c>
    </row>
    <row r="713" spans="1:23" x14ac:dyDescent="0.3">
      <c r="A713">
        <v>600</v>
      </c>
      <c r="B713">
        <v>147.89831110838699</v>
      </c>
      <c r="C713">
        <v>79.898293154288595</v>
      </c>
      <c r="D713">
        <v>8.8981130682482696</v>
      </c>
      <c r="E713">
        <v>41.263647086082997</v>
      </c>
      <c r="F713">
        <v>24.007098389810501</v>
      </c>
      <c r="G713">
        <v>47.959197358621303</v>
      </c>
      <c r="H713">
        <v>30.6475160843457</v>
      </c>
      <c r="I713">
        <v>93.983627668522004</v>
      </c>
      <c r="J713">
        <v>57.999337689563802</v>
      </c>
      <c r="K713" t="s">
        <v>6</v>
      </c>
      <c r="L713">
        <v>4.8</v>
      </c>
      <c r="M713">
        <v>0</v>
      </c>
      <c r="N713">
        <f>LN(1+Table1[[#This Row],[Redness]])</f>
        <v>5.0032635971702106</v>
      </c>
      <c r="O713">
        <f>LN(1+Table1[[#This Row],[Greeness]])</f>
        <v>4.3931927256254184</v>
      </c>
      <c r="P713">
        <f>LN(1+Table1[[#This Row],[Blueness]])</f>
        <v>2.2923441398073732</v>
      </c>
      <c r="Q713">
        <f>LN(1+Table1[[#This Row],[L* lab]])</f>
        <v>3.7439273096019714</v>
      </c>
      <c r="R713">
        <f>LN(1+Table1[[#This Row],[a* lab]]+128)</f>
        <v>5.0304843150208782</v>
      </c>
      <c r="S713">
        <f>LN(1+Table1[[#This Row],[b* lab]]+128)</f>
        <v>5.1759191826016071</v>
      </c>
      <c r="T713">
        <f>LN(1+Table1[[#This Row],[Hue]])</f>
        <v>3.4546596647630388</v>
      </c>
      <c r="U713">
        <f>LN(1+Table1[[#This Row],[Saturation]])</f>
        <v>4.553704536416892</v>
      </c>
      <c r="V713">
        <f>LN(1+Table1[[#This Row],[Value]])</f>
        <v>4.0775262182420988</v>
      </c>
    </row>
    <row r="714" spans="1:23" x14ac:dyDescent="0.3">
      <c r="A714">
        <v>600</v>
      </c>
      <c r="B714">
        <v>147.507888886172</v>
      </c>
      <c r="C714">
        <v>79.5078710198122</v>
      </c>
      <c r="D714">
        <v>8.5076995353529998</v>
      </c>
      <c r="E714">
        <v>41.114146390195501</v>
      </c>
      <c r="F714">
        <v>24.047140128545202</v>
      </c>
      <c r="G714">
        <v>47.926466807547797</v>
      </c>
      <c r="H714">
        <v>30.6475142873064</v>
      </c>
      <c r="I714">
        <v>94.232376587046005</v>
      </c>
      <c r="J714">
        <v>57.846230935754001</v>
      </c>
      <c r="K714" t="s">
        <v>6</v>
      </c>
      <c r="L714">
        <v>4.8</v>
      </c>
      <c r="M714">
        <v>0</v>
      </c>
      <c r="N714">
        <f>LN(1+Table1[[#This Row],[Redness]])</f>
        <v>5.0006380806443405</v>
      </c>
      <c r="O714">
        <f>LN(1+Table1[[#This Row],[Greeness]])</f>
        <v>4.3883549562883228</v>
      </c>
      <c r="P714">
        <f>LN(1+Table1[[#This Row],[Blueness]])</f>
        <v>2.2521019477526143</v>
      </c>
      <c r="Q714">
        <f>LN(1+Table1[[#This Row],[L* lab]])</f>
        <v>3.7403837030161617</v>
      </c>
      <c r="R714">
        <f>LN(1+Table1[[#This Row],[a* lab]]+128)</f>
        <v>5.0307459793530374</v>
      </c>
      <c r="S714">
        <f>LN(1+Table1[[#This Row],[b* lab]]+128)</f>
        <v>5.175734204488724</v>
      </c>
      <c r="T714">
        <f>LN(1+Table1[[#This Row],[Hue]])</f>
        <v>3.454659607980088</v>
      </c>
      <c r="U714">
        <f>LN(1+Table1[[#This Row],[Saturation]])</f>
        <v>4.5563199741798188</v>
      </c>
      <c r="V714">
        <f>LN(1+Table1[[#This Row],[Value]])</f>
        <v>4.0749277863834896</v>
      </c>
    </row>
    <row r="715" spans="1:23" x14ac:dyDescent="0.3">
      <c r="A715">
        <v>600</v>
      </c>
      <c r="B715">
        <v>147.39164444172999</v>
      </c>
      <c r="C715">
        <v>79.391626601493201</v>
      </c>
      <c r="D715">
        <v>8.3914576780717098</v>
      </c>
      <c r="E715">
        <v>41.069471841352197</v>
      </c>
      <c r="F715">
        <v>24.0589963976037</v>
      </c>
      <c r="G715">
        <v>47.920231797472297</v>
      </c>
      <c r="H715">
        <v>30.6475137522553</v>
      </c>
      <c r="I715">
        <v>94.306693768255499</v>
      </c>
      <c r="J715">
        <v>57.800644879110003</v>
      </c>
      <c r="K715" t="s">
        <v>6</v>
      </c>
      <c r="L715">
        <v>4.8</v>
      </c>
      <c r="M715">
        <v>0</v>
      </c>
      <c r="N715">
        <f>LN(1+Table1[[#This Row],[Redness]])</f>
        <v>4.9998550248471227</v>
      </c>
      <c r="O715">
        <f>LN(1+Table1[[#This Row],[Greeness]])</f>
        <v>4.3869100240136749</v>
      </c>
      <c r="P715">
        <f>LN(1+Table1[[#This Row],[Blueness]])</f>
        <v>2.239800518453444</v>
      </c>
      <c r="Q715">
        <f>LN(1+Table1[[#This Row],[L* lab]])</f>
        <v>3.7393223432415272</v>
      </c>
      <c r="R715">
        <f>LN(1+Table1[[#This Row],[a* lab]]+128)</f>
        <v>5.030823444438834</v>
      </c>
      <c r="S715">
        <f>LN(1+Table1[[#This Row],[b* lab]]+128)</f>
        <v>5.1756989631816799</v>
      </c>
      <c r="T715">
        <f>LN(1+Table1[[#This Row],[Hue]])</f>
        <v>3.4546595910735123</v>
      </c>
      <c r="U715">
        <f>LN(1+Table1[[#This Row],[Saturation]])</f>
        <v>4.5571000471049103</v>
      </c>
      <c r="V715">
        <f>LN(1+Table1[[#This Row],[Value]])</f>
        <v>4.0741528221762433</v>
      </c>
    </row>
    <row r="716" spans="1:23" x14ac:dyDescent="0.3">
      <c r="A716">
        <v>600</v>
      </c>
      <c r="B716">
        <v>147.895111108387</v>
      </c>
      <c r="C716">
        <v>79.241226635295007</v>
      </c>
      <c r="D716">
        <v>8.8910021154036905</v>
      </c>
      <c r="E716">
        <v>41.111594553966803</v>
      </c>
      <c r="F716">
        <v>24.3744533175017</v>
      </c>
      <c r="G716">
        <v>47.848150529100302</v>
      </c>
      <c r="H716">
        <v>30.3661057343745</v>
      </c>
      <c r="I716">
        <v>93.9883055979533</v>
      </c>
      <c r="J716">
        <v>57.998082787603103</v>
      </c>
      <c r="K716" t="s">
        <v>6</v>
      </c>
      <c r="L716">
        <v>4.8</v>
      </c>
      <c r="M716">
        <v>0</v>
      </c>
      <c r="N716">
        <f>LN(1+Table1[[#This Row],[Redness]])</f>
        <v>5.0032421057619967</v>
      </c>
      <c r="O716">
        <f>LN(1+Table1[[#This Row],[Greeness]])</f>
        <v>4.3850374306167819</v>
      </c>
      <c r="P716">
        <f>LN(1+Table1[[#This Row],[Blueness]])</f>
        <v>2.2916254666292502</v>
      </c>
      <c r="Q716">
        <f>LN(1+Table1[[#This Row],[L* lab]])</f>
        <v>3.7403231078536643</v>
      </c>
      <c r="R716">
        <f>LN(1+Table1[[#This Row],[a* lab]]+128)</f>
        <v>5.032882338672656</v>
      </c>
      <c r="S716">
        <f>LN(1+Table1[[#This Row],[b* lab]]+128)</f>
        <v>5.1752914577460869</v>
      </c>
      <c r="T716">
        <f>LN(1+Table1[[#This Row],[Hue]])</f>
        <v>3.4457278746934317</v>
      </c>
      <c r="U716">
        <f>LN(1+Table1[[#This Row],[Saturation]])</f>
        <v>4.5537537850543286</v>
      </c>
      <c r="V716">
        <f>LN(1+Table1[[#This Row],[Value]])</f>
        <v>4.0775049482523702</v>
      </c>
    </row>
    <row r="717" spans="1:23" x14ac:dyDescent="0.3">
      <c r="A717">
        <v>600</v>
      </c>
      <c r="B717">
        <v>141.57973333072599</v>
      </c>
      <c r="C717">
        <v>72.996072483312901</v>
      </c>
      <c r="D717">
        <v>3.2433055924144698</v>
      </c>
      <c r="E717">
        <v>38.700955551755797</v>
      </c>
      <c r="F717">
        <v>24.988697361830901</v>
      </c>
      <c r="G717">
        <v>47.439509960011499</v>
      </c>
      <c r="H717">
        <v>30.253535398289198</v>
      </c>
      <c r="I717">
        <v>97.709202075668401</v>
      </c>
      <c r="J717">
        <v>55.521464051265198</v>
      </c>
      <c r="K717" t="s">
        <v>6</v>
      </c>
      <c r="L717">
        <v>4.8</v>
      </c>
      <c r="M717">
        <v>0</v>
      </c>
      <c r="N717">
        <f>LN(1+Table1[[#This Row],[Redness]])</f>
        <v>4.9599013753744075</v>
      </c>
      <c r="O717">
        <f>LN(1+Table1[[#This Row],[Greeness]])</f>
        <v>4.3040120172458405</v>
      </c>
      <c r="P717">
        <f>LN(1+Table1[[#This Row],[Blueness]])</f>
        <v>1.4453425863498601</v>
      </c>
      <c r="Q717">
        <f>LN(1+Table1[[#This Row],[L* lab]])</f>
        <v>3.6813752567172315</v>
      </c>
      <c r="R717">
        <f>LN(1+Table1[[#This Row],[a* lab]]+128)</f>
        <v>5.0368792059658309</v>
      </c>
      <c r="S717">
        <f>LN(1+Table1[[#This Row],[b* lab]]+128)</f>
        <v>5.1729780978582021</v>
      </c>
      <c r="T717">
        <f>LN(1+Table1[[#This Row],[Hue]])</f>
        <v>3.4421325025286387</v>
      </c>
      <c r="U717">
        <f>LN(1+Table1[[#This Row],[Saturation]])</f>
        <v>4.5921781748763912</v>
      </c>
      <c r="V717">
        <f>LN(1+Table1[[#This Row],[Value]])</f>
        <v>4.0346204607233274</v>
      </c>
    </row>
    <row r="718" spans="1:23" x14ac:dyDescent="0.3">
      <c r="A718">
        <v>600</v>
      </c>
      <c r="B718">
        <v>151.262399997214</v>
      </c>
      <c r="C718">
        <v>81.262381736603999</v>
      </c>
      <c r="D718">
        <v>12.2621270851995</v>
      </c>
      <c r="E718">
        <v>42.088577790453002</v>
      </c>
      <c r="F718">
        <v>24.787432711431599</v>
      </c>
      <c r="G718">
        <v>47.860442872897799</v>
      </c>
      <c r="H718">
        <v>29.784224105119701</v>
      </c>
      <c r="I718">
        <v>91.893473139772098</v>
      </c>
      <c r="J718">
        <v>59.318588234201897</v>
      </c>
      <c r="K718" t="s">
        <v>6</v>
      </c>
      <c r="L718">
        <v>4.8</v>
      </c>
      <c r="M718">
        <v>0</v>
      </c>
      <c r="N718">
        <f>LN(1+Table1[[#This Row],[Redness]])</f>
        <v>5.0256053482470353</v>
      </c>
      <c r="O718">
        <f>LN(1+Table1[[#This Row],[Greeness]])</f>
        <v>4.4099139161468504</v>
      </c>
      <c r="P718">
        <f>LN(1+Table1[[#This Row],[Blueness]])</f>
        <v>2.5849123855579408</v>
      </c>
      <c r="Q718">
        <f>LN(1+Table1[[#This Row],[L* lab]])</f>
        <v>3.7632579455238262</v>
      </c>
      <c r="R718">
        <f>LN(1+Table1[[#This Row],[a* lab]]+128)</f>
        <v>5.035571341843684</v>
      </c>
      <c r="S718">
        <f>LN(1+Table1[[#This Row],[b* lab]]+128)</f>
        <v>5.1753609632318556</v>
      </c>
      <c r="T718">
        <f>LN(1+Table1[[#This Row],[Hue]])</f>
        <v>3.4270023543788253</v>
      </c>
      <c r="U718">
        <f>LN(1+Table1[[#This Row],[Saturation]])</f>
        <v>4.5314533865139053</v>
      </c>
      <c r="V718">
        <f>LN(1+Table1[[#This Row],[Value]])</f>
        <v>4.099640318820402</v>
      </c>
    </row>
    <row r="719" spans="1:23" x14ac:dyDescent="0.3">
      <c r="A719">
        <v>600</v>
      </c>
      <c r="B719">
        <v>178.87273060000001</v>
      </c>
      <c r="C719">
        <v>98.355508450000002</v>
      </c>
      <c r="D719">
        <v>21.668826060000001</v>
      </c>
      <c r="E719">
        <v>50.024926370000003</v>
      </c>
      <c r="F719">
        <v>27.519412429999999</v>
      </c>
      <c r="G719">
        <v>52.78428194</v>
      </c>
      <c r="H719">
        <v>29.268999130000001</v>
      </c>
      <c r="I719">
        <v>87.88589743</v>
      </c>
      <c r="J719">
        <v>70.146168840000001</v>
      </c>
      <c r="K719" t="s">
        <v>6</v>
      </c>
      <c r="L719" s="3">
        <v>4.8</v>
      </c>
      <c r="M719">
        <v>0</v>
      </c>
      <c r="N719">
        <f>LN(1+Table1[[#This Row],[Redness]])</f>
        <v>5.1922495485886797</v>
      </c>
      <c r="O719">
        <f>LN(1+Table1[[#This Row],[Greeness]])</f>
        <v>4.5987044123526113</v>
      </c>
      <c r="P719">
        <f>LN(1+Table1[[#This Row],[Blueness]])</f>
        <v>3.1209906793232922</v>
      </c>
      <c r="Q719">
        <f>LN(1+Table1[[#This Row],[L* lab]])</f>
        <v>3.9323142656767391</v>
      </c>
      <c r="R719">
        <f>LN(1+Table1[[#This Row],[a* lab]]+128)</f>
        <v>5.0531800433740104</v>
      </c>
      <c r="S719">
        <f>LN(1+Table1[[#This Row],[b* lab]]+128)</f>
        <v>5.2028207200298748</v>
      </c>
      <c r="T719">
        <f>LN(1+Table1[[#This Row],[Hue]])</f>
        <v>3.4101240577363985</v>
      </c>
      <c r="U719">
        <f>LN(1+Table1[[#This Row],[Saturation]])</f>
        <v>4.4873534958529024</v>
      </c>
      <c r="V719">
        <f>LN(1+Table1[[#This Row],[Value]])</f>
        <v>4.264736476845763</v>
      </c>
      <c r="W719" t="s">
        <v>26</v>
      </c>
    </row>
    <row r="720" spans="1:23" x14ac:dyDescent="0.3">
      <c r="A720">
        <v>600</v>
      </c>
      <c r="B720">
        <v>181.14633889999999</v>
      </c>
      <c r="C720">
        <v>96.416539439999994</v>
      </c>
      <c r="D720">
        <v>19.4954161</v>
      </c>
      <c r="E720">
        <v>49.914790959999998</v>
      </c>
      <c r="F720">
        <v>29.47071103</v>
      </c>
      <c r="G720">
        <v>53.557838150000002</v>
      </c>
      <c r="H720">
        <v>28.550826189999999</v>
      </c>
      <c r="I720">
        <v>89.237753179999999</v>
      </c>
      <c r="J720">
        <v>71.037779959999995</v>
      </c>
      <c r="K720" t="s">
        <v>6</v>
      </c>
      <c r="L720" s="3">
        <v>4.8</v>
      </c>
      <c r="M720">
        <v>0</v>
      </c>
      <c r="N720">
        <f>LN(1+Table1[[#This Row],[Redness]])</f>
        <v>5.2048104238839255</v>
      </c>
      <c r="O720">
        <f>LN(1+Table1[[#This Row],[Greeness]])</f>
        <v>4.578996005678083</v>
      </c>
      <c r="P720">
        <f>LN(1+Table1[[#This Row],[Blueness]])</f>
        <v>3.0202012562630158</v>
      </c>
      <c r="Q720">
        <f>LN(1+Table1[[#This Row],[L* lab]])</f>
        <v>3.9301534699488938</v>
      </c>
      <c r="R720">
        <f>LN(1+Table1[[#This Row],[a* lab]]+128)</f>
        <v>5.0655697877875863</v>
      </c>
      <c r="S720">
        <f>LN(1+Table1[[#This Row],[b* lab]]+128)</f>
        <v>5.2070670441834395</v>
      </c>
      <c r="T720">
        <f>LN(1+Table1[[#This Row],[Hue]])</f>
        <v>3.3861117025137135</v>
      </c>
      <c r="U720">
        <f>LN(1+Table1[[#This Row],[Saturation]])</f>
        <v>4.5024478891685051</v>
      </c>
      <c r="V720">
        <f>LN(1+Table1[[#This Row],[Value]])</f>
        <v>4.2771907030644467</v>
      </c>
      <c r="W720" t="s">
        <v>26</v>
      </c>
    </row>
    <row r="721" spans="1:23" x14ac:dyDescent="0.3">
      <c r="A721">
        <v>600</v>
      </c>
      <c r="B721">
        <v>174.95237220000001</v>
      </c>
      <c r="C721">
        <v>90.971107329999995</v>
      </c>
      <c r="D721">
        <v>18.088819619999999</v>
      </c>
      <c r="E721">
        <v>47.79217053</v>
      </c>
      <c r="F721">
        <v>29.77659916</v>
      </c>
      <c r="G721">
        <v>51.953868559999997</v>
      </c>
      <c r="H721">
        <v>27.87733154</v>
      </c>
      <c r="I721">
        <v>89.660717719999994</v>
      </c>
      <c r="J721">
        <v>68.608773420000006</v>
      </c>
      <c r="K721" t="s">
        <v>6</v>
      </c>
      <c r="L721" s="3">
        <v>4.8</v>
      </c>
      <c r="M721">
        <v>0</v>
      </c>
      <c r="N721">
        <f>LN(1+Table1[[#This Row],[Redness]])</f>
        <v>5.1702133459159825</v>
      </c>
      <c r="O721">
        <f>LN(1+Table1[[#This Row],[Greeness]])</f>
        <v>4.5214744769639035</v>
      </c>
      <c r="P721">
        <f>LN(1+Table1[[#This Row],[Blueness]])</f>
        <v>2.9491028034529863</v>
      </c>
      <c r="Q721">
        <f>LN(1+Table1[[#This Row],[L* lab]])</f>
        <v>3.887569860028218</v>
      </c>
      <c r="R721">
        <f>LN(1+Table1[[#This Row],[a* lab]]+128)</f>
        <v>5.0674981775010162</v>
      </c>
      <c r="S721">
        <f>LN(1+Table1[[#This Row],[b* lab]]+128)</f>
        <v>5.1982421289467355</v>
      </c>
      <c r="T721">
        <f>LN(1+Table1[[#This Row],[Hue]])</f>
        <v>3.3630569115562028</v>
      </c>
      <c r="U721">
        <f>LN(1+Table1[[#This Row],[Saturation]])</f>
        <v>4.5071241620928824</v>
      </c>
      <c r="V721">
        <f>LN(1+Table1[[#This Row],[Value]])</f>
        <v>4.2428906142811824</v>
      </c>
      <c r="W721" t="s">
        <v>26</v>
      </c>
    </row>
    <row r="722" spans="1:23" x14ac:dyDescent="0.3">
      <c r="A722">
        <v>900</v>
      </c>
      <c r="B722">
        <v>172.98122219999999</v>
      </c>
      <c r="C722">
        <v>94.872489790000003</v>
      </c>
      <c r="D722">
        <v>16.297037280000001</v>
      </c>
      <c r="E722">
        <v>48.36405671</v>
      </c>
      <c r="F722">
        <v>26.785671959999998</v>
      </c>
      <c r="G722">
        <v>52.773092239999997</v>
      </c>
      <c r="H722">
        <v>30.08936194</v>
      </c>
      <c r="I722">
        <v>90.578724629999996</v>
      </c>
      <c r="J722">
        <v>67.835773419999995</v>
      </c>
      <c r="K722" t="s">
        <v>6</v>
      </c>
      <c r="L722">
        <v>7.2</v>
      </c>
      <c r="M722">
        <v>0</v>
      </c>
      <c r="N722">
        <f>LN(1+Table1[[#This Row],[Redness]])</f>
        <v>5.1589473750001158</v>
      </c>
      <c r="O722">
        <f>LN(1+Table1[[#This Row],[Greeness]])</f>
        <v>4.5630190772325374</v>
      </c>
      <c r="P722">
        <f>LN(1+Table1[[#This Row],[Blueness]])</f>
        <v>2.850535231346508</v>
      </c>
      <c r="Q722">
        <f>LN(1+Table1[[#This Row],[L* lab]])</f>
        <v>3.8992225624031773</v>
      </c>
      <c r="R722">
        <f>LN(1+Table1[[#This Row],[a* lab]]+128)</f>
        <v>5.048481164894449</v>
      </c>
      <c r="S722">
        <f>LN(1+Table1[[#This Row],[b* lab]]+128)</f>
        <v>5.2027591633084418</v>
      </c>
      <c r="T722">
        <f>LN(1+Table1[[#This Row],[Hue]])</f>
        <v>3.4368657008623145</v>
      </c>
      <c r="U722">
        <f>LN(1+Table1[[#This Row],[Saturation]])</f>
        <v>4.5171989808380273</v>
      </c>
      <c r="V722">
        <f>LN(1+Table1[[#This Row],[Value]])</f>
        <v>4.2317235723056381</v>
      </c>
      <c r="W722" t="s">
        <v>26</v>
      </c>
    </row>
    <row r="723" spans="1:23" x14ac:dyDescent="0.3">
      <c r="A723">
        <v>900</v>
      </c>
      <c r="B723">
        <v>175.83365280000001</v>
      </c>
      <c r="C723">
        <v>95.181009160000002</v>
      </c>
      <c r="D723">
        <v>22.685947859999999</v>
      </c>
      <c r="E723">
        <v>48.874021200000001</v>
      </c>
      <c r="F723">
        <v>27.978521520000001</v>
      </c>
      <c r="G723">
        <v>51.348639030000001</v>
      </c>
      <c r="H723">
        <v>28.402016740000001</v>
      </c>
      <c r="I723">
        <v>87.098062569999996</v>
      </c>
      <c r="J723">
        <v>68.95437364</v>
      </c>
      <c r="K723" t="s">
        <v>6</v>
      </c>
      <c r="L723">
        <v>7.2</v>
      </c>
      <c r="M723">
        <v>0</v>
      </c>
      <c r="N723">
        <f>LN(1+Table1[[#This Row],[Redness]])</f>
        <v>5.1752094759818457</v>
      </c>
      <c r="O723">
        <f>LN(1+Table1[[#This Row],[Greeness]])</f>
        <v>4.5662319282045365</v>
      </c>
      <c r="P723">
        <f>LN(1+Table1[[#This Row],[Blueness]])</f>
        <v>3.1648819549965341</v>
      </c>
      <c r="Q723">
        <f>LN(1+Table1[[#This Row],[L* lab]])</f>
        <v>3.9095002499547968</v>
      </c>
      <c r="R723">
        <f>LN(1+Table1[[#This Row],[a* lab]]+128)</f>
        <v>5.0561089903844723</v>
      </c>
      <c r="S723">
        <f>LN(1+Table1[[#This Row],[b* lab]]+128)</f>
        <v>5.1948918610499355</v>
      </c>
      <c r="T723">
        <f>LN(1+Table1[[#This Row],[Hue]])</f>
        <v>3.3810632685906361</v>
      </c>
      <c r="U723">
        <f>LN(1+Table1[[#This Row],[Saturation]])</f>
        <v>4.4784505414403908</v>
      </c>
      <c r="V723">
        <f>LN(1+Table1[[#This Row],[Value]])</f>
        <v>4.2478432243891779</v>
      </c>
      <c r="W723" t="s">
        <v>26</v>
      </c>
    </row>
    <row r="724" spans="1:23" x14ac:dyDescent="0.3">
      <c r="A724">
        <v>900</v>
      </c>
      <c r="B724">
        <v>168.27155279999999</v>
      </c>
      <c r="C724">
        <v>86.623888859999994</v>
      </c>
      <c r="D724">
        <v>15.5314321</v>
      </c>
      <c r="E724">
        <v>45.840250840000003</v>
      </c>
      <c r="F724">
        <v>29.239776979999998</v>
      </c>
      <c r="G724">
        <v>50.81732667</v>
      </c>
      <c r="H724">
        <v>27.92683014</v>
      </c>
      <c r="I724">
        <v>90.770019149999996</v>
      </c>
      <c r="J724">
        <v>65.988844229999998</v>
      </c>
      <c r="K724" t="s">
        <v>6</v>
      </c>
      <c r="L724">
        <v>7.2</v>
      </c>
      <c r="M724">
        <v>0</v>
      </c>
      <c r="N724">
        <f>LN(1+Table1[[#This Row],[Redness]])</f>
        <v>5.1315042466687064</v>
      </c>
      <c r="O724">
        <f>LN(1+Table1[[#This Row],[Greeness]])</f>
        <v>4.4730536646466792</v>
      </c>
      <c r="P724">
        <f>LN(1+Table1[[#This Row],[Blueness]])</f>
        <v>2.8052635444988478</v>
      </c>
      <c r="Q724">
        <f>LN(1+Table1[[#This Row],[L* lab]])</f>
        <v>3.8467428939670989</v>
      </c>
      <c r="R724">
        <f>LN(1+Table1[[#This Row],[a* lab]]+128)</f>
        <v>5.0641114584952494</v>
      </c>
      <c r="S724">
        <f>LN(1+Table1[[#This Row],[b* lab]]+128)</f>
        <v>5.1919414837460831</v>
      </c>
      <c r="T724">
        <f>LN(1+Table1[[#This Row],[Hue]])</f>
        <v>3.3647695429882698</v>
      </c>
      <c r="U724">
        <f>LN(1+Table1[[#This Row],[Saturation]])</f>
        <v>4.5192856555047589</v>
      </c>
      <c r="V724">
        <f>LN(1+Table1[[#This Row],[Value]])</f>
        <v>4.2045261014977804</v>
      </c>
      <c r="W724" t="s">
        <v>26</v>
      </c>
    </row>
    <row r="725" spans="1:23" x14ac:dyDescent="0.3">
      <c r="A725">
        <v>900</v>
      </c>
      <c r="B725">
        <v>168.2665944</v>
      </c>
      <c r="C725">
        <v>85.046575329999996</v>
      </c>
      <c r="D725">
        <v>19.017593399999999</v>
      </c>
      <c r="E725">
        <v>45.509764850000003</v>
      </c>
      <c r="F725">
        <v>30.170466470000001</v>
      </c>
      <c r="G725">
        <v>49.390909360000002</v>
      </c>
      <c r="H725">
        <v>26.544492009999999</v>
      </c>
      <c r="I725">
        <v>88.69793885</v>
      </c>
      <c r="J725">
        <v>65.986899780000002</v>
      </c>
      <c r="K725" t="s">
        <v>6</v>
      </c>
      <c r="L725">
        <v>7.2</v>
      </c>
      <c r="M725">
        <v>0</v>
      </c>
      <c r="N725">
        <f>LN(1+Table1[[#This Row],[Redness]])</f>
        <v>5.1314749536626376</v>
      </c>
      <c r="O725">
        <f>LN(1+Table1[[#This Row],[Greeness]])</f>
        <v>4.4548887232601011</v>
      </c>
      <c r="P725">
        <f>LN(1+Table1[[#This Row],[Blueness]])</f>
        <v>2.9966115568710889</v>
      </c>
      <c r="Q725">
        <f>LN(1+Table1[[#This Row],[L* lab]])</f>
        <v>3.8396622873212682</v>
      </c>
      <c r="R725">
        <f>LN(1+Table1[[#This Row],[a* lab]]+128)</f>
        <v>5.0699757440776647</v>
      </c>
      <c r="S725">
        <f>LN(1+Table1[[#This Row],[b* lab]]+128)</f>
        <v>5.1839772623453397</v>
      </c>
      <c r="T725">
        <f>LN(1+Table1[[#This Row],[Hue]])</f>
        <v>3.315802588569106</v>
      </c>
      <c r="U725">
        <f>LN(1+Table1[[#This Row],[Saturation]])</f>
        <v>4.496447790539877</v>
      </c>
      <c r="V725">
        <f>LN(1+Table1[[#This Row],[Value]])</f>
        <v>4.2044970746016883</v>
      </c>
      <c r="W725" t="s">
        <v>26</v>
      </c>
    </row>
    <row r="726" spans="1:23" x14ac:dyDescent="0.3">
      <c r="A726">
        <v>900</v>
      </c>
      <c r="B726">
        <v>155.61777777491201</v>
      </c>
      <c r="C726">
        <v>80.703270751150896</v>
      </c>
      <c r="D726">
        <v>22.899223671590601</v>
      </c>
      <c r="E726">
        <v>42.663928317094197</v>
      </c>
      <c r="F726">
        <v>27.252460685927201</v>
      </c>
      <c r="G726">
        <v>44.8952546428958</v>
      </c>
      <c r="H726">
        <v>26.132313211260399</v>
      </c>
      <c r="I726">
        <v>85.284956513957894</v>
      </c>
      <c r="J726">
        <v>61.026579519573502</v>
      </c>
      <c r="K726" t="s">
        <v>6</v>
      </c>
      <c r="L726">
        <v>7.2</v>
      </c>
      <c r="M726">
        <v>0</v>
      </c>
      <c r="N726">
        <f>LN(1+Table1[[#This Row],[Redness]])</f>
        <v>5.0538083005802727</v>
      </c>
      <c r="O726">
        <f>LN(1+Table1[[#This Row],[Greeness]])</f>
        <v>4.4030940347384488</v>
      </c>
      <c r="P726">
        <f>LN(1+Table1[[#This Row],[Blueness]])</f>
        <v>3.1738459760496758</v>
      </c>
      <c r="Q726">
        <f>LN(1+Table1[[#This Row],[L* lab]])</f>
        <v>3.7765223222711164</v>
      </c>
      <c r="R726">
        <f>LN(1+Table1[[#This Row],[a* lab]]+128)</f>
        <v>5.0514730368824399</v>
      </c>
      <c r="S726">
        <f>LN(1+Table1[[#This Row],[b* lab]]+128)</f>
        <v>5.1584531331379795</v>
      </c>
      <c r="T726">
        <f>LN(1+Table1[[#This Row],[Hue]])</f>
        <v>3.3007253869970192</v>
      </c>
      <c r="U726">
        <f>LN(1+Table1[[#This Row],[Saturation]])</f>
        <v>4.4576552667179339</v>
      </c>
      <c r="V726">
        <f>LN(1+Table1[[#This Row],[Value]])</f>
        <v>4.1275629951072794</v>
      </c>
    </row>
    <row r="727" spans="1:23" x14ac:dyDescent="0.3">
      <c r="A727">
        <v>900</v>
      </c>
      <c r="B727">
        <v>153.399999997175</v>
      </c>
      <c r="C727">
        <v>78.399982379916906</v>
      </c>
      <c r="D727">
        <v>21.166284463365699</v>
      </c>
      <c r="E727">
        <v>41.804115758766898</v>
      </c>
      <c r="F727">
        <v>27.517701639939801</v>
      </c>
      <c r="G727">
        <v>44.712337111157098</v>
      </c>
      <c r="H727">
        <v>25.969336648602699</v>
      </c>
      <c r="I727">
        <v>86.201900610328906</v>
      </c>
      <c r="J727">
        <v>60.156862743990402</v>
      </c>
      <c r="K727" t="s">
        <v>6</v>
      </c>
      <c r="L727">
        <v>7.2</v>
      </c>
      <c r="M727">
        <v>0</v>
      </c>
      <c r="N727">
        <f>LN(1+Table1[[#This Row],[Redness]])</f>
        <v>5.0395466375723794</v>
      </c>
      <c r="O727">
        <f>LN(1+Table1[[#This Row],[Greeness]])</f>
        <v>4.3744981463376611</v>
      </c>
      <c r="P727">
        <f>LN(1+Table1[[#This Row],[Blueness]])</f>
        <v>3.0985724165908706</v>
      </c>
      <c r="Q727">
        <f>LN(1+Table1[[#This Row],[L* lab]])</f>
        <v>3.7566342605524374</v>
      </c>
      <c r="R727">
        <f>LN(1+Table1[[#This Row],[a* lab]]+128)</f>
        <v>5.0531691131041905</v>
      </c>
      <c r="S727">
        <f>LN(1+Table1[[#This Row],[b* lab]]+128)</f>
        <v>5.1574006961201375</v>
      </c>
      <c r="T727">
        <f>LN(1+Table1[[#This Row],[Hue]])</f>
        <v>3.2947005409501076</v>
      </c>
      <c r="U727">
        <f>LN(1+Table1[[#This Row],[Saturation]])</f>
        <v>4.4682261266674148</v>
      </c>
      <c r="V727">
        <f>LN(1+Table1[[#This Row],[Value]])</f>
        <v>4.1134420838653662</v>
      </c>
    </row>
    <row r="728" spans="1:23" x14ac:dyDescent="0.3">
      <c r="A728">
        <v>900</v>
      </c>
      <c r="B728">
        <v>149.613333330578</v>
      </c>
      <c r="C728">
        <v>74.613316564288198</v>
      </c>
      <c r="D728">
        <v>17.552320453927301</v>
      </c>
      <c r="E728">
        <v>40.363172125635103</v>
      </c>
      <c r="F728">
        <v>27.8772301853808</v>
      </c>
      <c r="G728">
        <v>44.6517325097862</v>
      </c>
      <c r="H728">
        <v>25.924833469355899</v>
      </c>
      <c r="I728">
        <v>88.268211085742905</v>
      </c>
      <c r="J728">
        <v>58.671895423756297</v>
      </c>
      <c r="K728" t="s">
        <v>6</v>
      </c>
      <c r="L728">
        <v>7.2</v>
      </c>
      <c r="M728">
        <v>0</v>
      </c>
      <c r="N728">
        <f>LN(1+Table1[[#This Row],[Redness]])</f>
        <v>5.0147158461784187</v>
      </c>
      <c r="O728">
        <f>LN(1+Table1[[#This Row],[Greeness]])</f>
        <v>4.3256324127040404</v>
      </c>
      <c r="P728">
        <f>LN(1+Table1[[#This Row],[Blueness]])</f>
        <v>2.9205948730860296</v>
      </c>
      <c r="Q728">
        <f>LN(1+Table1[[#This Row],[L* lab]])</f>
        <v>3.7223909227533034</v>
      </c>
      <c r="R728">
        <f>LN(1+Table1[[#This Row],[a* lab]]+128)</f>
        <v>5.0554635261061502</v>
      </c>
      <c r="S728">
        <f>LN(1+Table1[[#This Row],[b* lab]]+128)</f>
        <v>5.1570517561618283</v>
      </c>
      <c r="T728">
        <f>LN(1+Table1[[#This Row],[Hue]])</f>
        <v>3.2930490380411861</v>
      </c>
      <c r="U728">
        <f>LN(1+Table1[[#This Row],[Saturation]])</f>
        <v>4.4916454456238721</v>
      </c>
      <c r="V728">
        <f>LN(1+Table1[[#This Row],[Value]])</f>
        <v>4.0888611461335005</v>
      </c>
    </row>
    <row r="729" spans="1:23" x14ac:dyDescent="0.3">
      <c r="A729">
        <v>900</v>
      </c>
      <c r="B729">
        <v>152.79093333052001</v>
      </c>
      <c r="C729">
        <v>77.790915850135505</v>
      </c>
      <c r="D729">
        <v>21.128951960931602</v>
      </c>
      <c r="E729">
        <v>41.575640775532896</v>
      </c>
      <c r="F729">
        <v>27.590298843560198</v>
      </c>
      <c r="G729">
        <v>44.4947906067814</v>
      </c>
      <c r="H729">
        <v>25.821560620517101</v>
      </c>
      <c r="I729">
        <v>86.171331308497699</v>
      </c>
      <c r="J729">
        <v>59.918013070792099</v>
      </c>
      <c r="K729" t="s">
        <v>6</v>
      </c>
      <c r="L729">
        <v>7.2</v>
      </c>
      <c r="M729">
        <v>0</v>
      </c>
      <c r="N729">
        <f>LN(1+Table1[[#This Row],[Redness]])</f>
        <v>5.0355941042969317</v>
      </c>
      <c r="O729">
        <f>LN(1+Table1[[#This Row],[Greeness]])</f>
        <v>4.3667977091288073</v>
      </c>
      <c r="P729">
        <f>LN(1+Table1[[#This Row],[Blueness]])</f>
        <v>3.0968867946465166</v>
      </c>
      <c r="Q729">
        <f>LN(1+Table1[[#This Row],[L* lab]])</f>
        <v>3.7512822769471299</v>
      </c>
      <c r="R729">
        <f>LN(1+Table1[[#This Row],[a* lab]]+128)</f>
        <v>5.0536328330015374</v>
      </c>
      <c r="S729">
        <f>LN(1+Table1[[#This Row],[b* lab]]+128)</f>
        <v>5.1561475736150006</v>
      </c>
      <c r="T729">
        <f>LN(1+Table1[[#This Row],[Hue]])</f>
        <v>3.2892060648450925</v>
      </c>
      <c r="U729">
        <f>LN(1+Table1[[#This Row],[Saturation]])</f>
        <v>4.467875507460465</v>
      </c>
      <c r="V729">
        <f>LN(1+Table1[[#This Row],[Value]])</f>
        <v>4.1095289121108278</v>
      </c>
    </row>
    <row r="730" spans="1:23" x14ac:dyDescent="0.3">
      <c r="A730">
        <v>900</v>
      </c>
      <c r="B730">
        <v>152.980088886072</v>
      </c>
      <c r="C730">
        <v>77.707715868834299</v>
      </c>
      <c r="D730">
        <v>22.8288252384293</v>
      </c>
      <c r="E730">
        <v>41.596838855935303</v>
      </c>
      <c r="F730">
        <v>27.768166054648798</v>
      </c>
      <c r="G730">
        <v>43.823503290908597</v>
      </c>
      <c r="H730">
        <v>25.299281355720701</v>
      </c>
      <c r="I730">
        <v>85.077257174670294</v>
      </c>
      <c r="J730">
        <v>59.992191720028202</v>
      </c>
      <c r="K730" t="s">
        <v>6</v>
      </c>
      <c r="L730">
        <v>7.2</v>
      </c>
      <c r="M730">
        <v>0</v>
      </c>
      <c r="N730">
        <f>LN(1+Table1[[#This Row],[Redness]])</f>
        <v>5.0368233011069909</v>
      </c>
      <c r="O730">
        <f>LN(1+Table1[[#This Row],[Greeness]])</f>
        <v>4.3657411921529787</v>
      </c>
      <c r="P730">
        <f>LN(1+Table1[[#This Row],[Blueness]])</f>
        <v>3.1708959923054425</v>
      </c>
      <c r="Q730">
        <f>LN(1+Table1[[#This Row],[L* lab]])</f>
        <v>3.7517800452622434</v>
      </c>
      <c r="R730">
        <f>LN(1+Table1[[#This Row],[a* lab]]+128)</f>
        <v>5.0547680646937696</v>
      </c>
      <c r="S730">
        <f>LN(1+Table1[[#This Row],[b* lab]]+128)</f>
        <v>5.1522708615358139</v>
      </c>
      <c r="T730">
        <f>LN(1+Table1[[#This Row],[Hue]])</f>
        <v>3.2695416139328479</v>
      </c>
      <c r="U730">
        <f>LN(1+Table1[[#This Row],[Saturation]])</f>
        <v>4.4552452322286591</v>
      </c>
      <c r="V730">
        <f>LN(1+Table1[[#This Row],[Value]])</f>
        <v>4.1107458513903232</v>
      </c>
    </row>
    <row r="731" spans="1:23" x14ac:dyDescent="0.3">
      <c r="A731">
        <v>900</v>
      </c>
      <c r="B731">
        <v>151.824711108315</v>
      </c>
      <c r="C731">
        <v>76.291360631599005</v>
      </c>
      <c r="D731">
        <v>22.795225986238599</v>
      </c>
      <c r="E731">
        <v>41.105965398628697</v>
      </c>
      <c r="F731">
        <v>28.051176994979102</v>
      </c>
      <c r="G731">
        <v>43.335893881437002</v>
      </c>
      <c r="H731">
        <v>24.876237207990101</v>
      </c>
      <c r="I731">
        <v>84.985826207187003</v>
      </c>
      <c r="J731">
        <v>59.5391023954178</v>
      </c>
      <c r="K731" t="s">
        <v>6</v>
      </c>
      <c r="L731">
        <v>7.2</v>
      </c>
      <c r="M731">
        <v>0</v>
      </c>
      <c r="N731">
        <f>LN(1+Table1[[#This Row],[Redness]])</f>
        <v>5.0292915855698972</v>
      </c>
      <c r="O731">
        <f>LN(1+Table1[[#This Row],[Greeness]])</f>
        <v>4.3475821852023957</v>
      </c>
      <c r="P731">
        <f>LN(1+Table1[[#This Row],[Blueness]])</f>
        <v>3.169484971743298</v>
      </c>
      <c r="Q731">
        <f>LN(1+Table1[[#This Row],[L* lab]])</f>
        <v>3.7401894265798385</v>
      </c>
      <c r="R731">
        <f>LN(1+Table1[[#This Row],[a* lab]]+128)</f>
        <v>5.0565717203531282</v>
      </c>
      <c r="S731">
        <f>LN(1+Table1[[#This Row],[b* lab]]+128)</f>
        <v>5.1494454438427262</v>
      </c>
      <c r="T731">
        <f>LN(1+Table1[[#This Row],[Hue]])</f>
        <v>3.2533250652439918</v>
      </c>
      <c r="U731">
        <f>LN(1+Table1[[#This Row],[Saturation]])</f>
        <v>4.4541824711262556</v>
      </c>
      <c r="V731">
        <f>LN(1+Table1[[#This Row],[Value]])</f>
        <v>4.1032894768470163</v>
      </c>
    </row>
    <row r="732" spans="1:23" x14ac:dyDescent="0.3">
      <c r="A732">
        <v>900</v>
      </c>
      <c r="B732">
        <v>152.14488888608699</v>
      </c>
      <c r="C732">
        <v>76.582382788415103</v>
      </c>
      <c r="D732">
        <v>23.452811350541499</v>
      </c>
      <c r="E732">
        <v>41.223529235841703</v>
      </c>
      <c r="F732">
        <v>28.046836078357799</v>
      </c>
      <c r="G732">
        <v>43.194884968473303</v>
      </c>
      <c r="H732">
        <v>24.770555789589501</v>
      </c>
      <c r="I732">
        <v>84.5852124759177</v>
      </c>
      <c r="J732">
        <v>59.664662308269598</v>
      </c>
      <c r="K732" t="s">
        <v>6</v>
      </c>
      <c r="L732">
        <v>7.2</v>
      </c>
      <c r="M732">
        <v>0</v>
      </c>
      <c r="N732">
        <f>LN(1+Table1[[#This Row],[Redness]])</f>
        <v>5.0313844594674739</v>
      </c>
      <c r="O732">
        <f>LN(1+Table1[[#This Row],[Greeness]])</f>
        <v>4.3513403754924012</v>
      </c>
      <c r="P732">
        <f>LN(1+Table1[[#This Row],[Blueness]])</f>
        <v>3.1967451929729953</v>
      </c>
      <c r="Q732">
        <f>LN(1+Table1[[#This Row],[L* lab]])</f>
        <v>3.7429776304908224</v>
      </c>
      <c r="R732">
        <f>LN(1+Table1[[#This Row],[a* lab]]+128)</f>
        <v>5.0565440798304833</v>
      </c>
      <c r="S732">
        <f>LN(1+Table1[[#This Row],[b* lab]]+128)</f>
        <v>5.148626887536623</v>
      </c>
      <c r="T732">
        <f>LN(1+Table1[[#This Row],[Hue]])</f>
        <v>3.2492325917421216</v>
      </c>
      <c r="U732">
        <f>LN(1+Table1[[#This Row],[Saturation]])</f>
        <v>4.4495125167748864</v>
      </c>
      <c r="V732">
        <f>LN(1+Table1[[#This Row],[Value]])</f>
        <v>4.1053613589882127</v>
      </c>
    </row>
    <row r="733" spans="1:23" x14ac:dyDescent="0.3">
      <c r="A733">
        <v>900</v>
      </c>
      <c r="B733">
        <v>150.560888886116</v>
      </c>
      <c r="C733">
        <v>74.909138720025595</v>
      </c>
      <c r="D733">
        <v>22.418878806938999</v>
      </c>
      <c r="E733">
        <v>40.603835608875798</v>
      </c>
      <c r="F733">
        <v>28.256203193804598</v>
      </c>
      <c r="G733">
        <v>42.984935076602298</v>
      </c>
      <c r="H733">
        <v>24.577541688625001</v>
      </c>
      <c r="I733">
        <v>85.109759265637294</v>
      </c>
      <c r="J733">
        <v>59.043485837692799</v>
      </c>
      <c r="K733" t="s">
        <v>6</v>
      </c>
      <c r="L733">
        <v>7.2</v>
      </c>
      <c r="M733">
        <v>0</v>
      </c>
      <c r="N733">
        <f>LN(1+Table1[[#This Row],[Redness]])</f>
        <v>5.0209874510455528</v>
      </c>
      <c r="O733">
        <f>LN(1+Table1[[#This Row],[Greeness]])</f>
        <v>4.3295370818969348</v>
      </c>
      <c r="P733">
        <f>LN(1+Table1[[#This Row],[Blueness]])</f>
        <v>3.1535424837075956</v>
      </c>
      <c r="Q733">
        <f>LN(1+Table1[[#This Row],[L* lab]])</f>
        <v>3.7281923651532995</v>
      </c>
      <c r="R733">
        <f>LN(1+Table1[[#This Row],[a* lab]]+128)</f>
        <v>5.0578763427758195</v>
      </c>
      <c r="S733">
        <f>LN(1+Table1[[#This Row],[b* lab]]+128)</f>
        <v>5.1474068862135685</v>
      </c>
      <c r="T733">
        <f>LN(1+Table1[[#This Row],[Hue]])</f>
        <v>3.241714688664068</v>
      </c>
      <c r="U733">
        <f>LN(1+Table1[[#This Row],[Saturation]])</f>
        <v>4.4556227530432357</v>
      </c>
      <c r="V733">
        <f>LN(1+Table1[[#This Row],[Value]])</f>
        <v>4.0950690636690803</v>
      </c>
    </row>
    <row r="734" spans="1:23" x14ac:dyDescent="0.3">
      <c r="A734">
        <v>900</v>
      </c>
      <c r="B734">
        <v>151.50506666387699</v>
      </c>
      <c r="C734">
        <v>75.732605201621496</v>
      </c>
      <c r="D734">
        <v>25.090641564470101</v>
      </c>
      <c r="E734">
        <v>40.948525039274998</v>
      </c>
      <c r="F734">
        <v>28.2925926274593</v>
      </c>
      <c r="G734">
        <v>42.2069154283312</v>
      </c>
      <c r="H734">
        <v>24.036163719763099</v>
      </c>
      <c r="I734">
        <v>83.439074271928305</v>
      </c>
      <c r="J734">
        <v>59.413751632892897</v>
      </c>
      <c r="K734" t="s">
        <v>6</v>
      </c>
      <c r="L734">
        <v>7.2</v>
      </c>
      <c r="M734">
        <v>0</v>
      </c>
      <c r="N734">
        <f>LN(1+Table1[[#This Row],[Redness]])</f>
        <v>5.0271978195209837</v>
      </c>
      <c r="O734">
        <f>LN(1+Table1[[#This Row],[Greeness]])</f>
        <v>4.3403267184559038</v>
      </c>
      <c r="P734">
        <f>LN(1+Table1[[#This Row],[Blueness]])</f>
        <v>3.2615766892821001</v>
      </c>
      <c r="Q734">
        <f>LN(1+Table1[[#This Row],[L* lab]])</f>
        <v>3.7364432723254821</v>
      </c>
      <c r="R734">
        <f>LN(1+Table1[[#This Row],[a* lab]]+128)</f>
        <v>5.0581077182209038</v>
      </c>
      <c r="S734">
        <f>LN(1+Table1[[#This Row],[b* lab]]+128)</f>
        <v>5.142872856748907</v>
      </c>
      <c r="T734">
        <f>LN(1+Table1[[#This Row],[Hue]])</f>
        <v>3.220321328414899</v>
      </c>
      <c r="U734">
        <f>LN(1+Table1[[#This Row],[Saturation]])</f>
        <v>4.4360302597737462</v>
      </c>
      <c r="V734">
        <f>LN(1+Table1[[#This Row],[Value]])</f>
        <v>4.101216755067786</v>
      </c>
    </row>
    <row r="735" spans="1:23" x14ac:dyDescent="0.3">
      <c r="A735">
        <v>900</v>
      </c>
      <c r="B735">
        <v>147.46059999728399</v>
      </c>
      <c r="C735">
        <v>73.202627992445997</v>
      </c>
      <c r="D735">
        <v>23.9834439848408</v>
      </c>
      <c r="E735">
        <v>39.757177765755202</v>
      </c>
      <c r="F735">
        <v>27.918273312493401</v>
      </c>
      <c r="G735">
        <v>41.379481101729198</v>
      </c>
      <c r="H735">
        <v>23.916578060468801</v>
      </c>
      <c r="I735">
        <v>83.735693476574397</v>
      </c>
      <c r="J735">
        <v>57.827686273445003</v>
      </c>
      <c r="K735" t="s">
        <v>6</v>
      </c>
      <c r="L735">
        <v>7.2</v>
      </c>
      <c r="M735">
        <v>0</v>
      </c>
      <c r="N735">
        <f>LN(1+Table1[[#This Row],[Redness]])</f>
        <v>5.0003196031555976</v>
      </c>
      <c r="O735">
        <f>LN(1+Table1[[#This Row],[Greeness]])</f>
        <v>4.3067995672340951</v>
      </c>
      <c r="P735">
        <f>LN(1+Table1[[#This Row],[Blueness]])</f>
        <v>3.2182133648836628</v>
      </c>
      <c r="Q735">
        <f>LN(1+Table1[[#This Row],[L* lab]])</f>
        <v>3.7076319656667058</v>
      </c>
      <c r="R735">
        <f>LN(1+Table1[[#This Row],[a* lab]]+128)</f>
        <v>5.0557251176642772</v>
      </c>
      <c r="S735">
        <f>LN(1+Table1[[#This Row],[b* lab]]+128)</f>
        <v>5.1380281910749543</v>
      </c>
      <c r="T735">
        <f>LN(1+Table1[[#This Row],[Hue]])</f>
        <v>3.2155333674947766</v>
      </c>
      <c r="U735">
        <f>LN(1+Table1[[#This Row],[Saturation]])</f>
        <v>4.4395369234748001</v>
      </c>
      <c r="V735">
        <f>LN(1+Table1[[#This Row],[Value]])</f>
        <v>4.0746125990777164</v>
      </c>
    </row>
    <row r="736" spans="1:23" x14ac:dyDescent="0.3">
      <c r="A736">
        <v>900</v>
      </c>
      <c r="B736">
        <v>145.23715555288101</v>
      </c>
      <c r="C736">
        <v>71.237139545292806</v>
      </c>
      <c r="D736">
        <v>22.236660640296599</v>
      </c>
      <c r="E736">
        <v>38.9649094129174</v>
      </c>
      <c r="F736">
        <v>27.991003091107501</v>
      </c>
      <c r="G736">
        <v>41.301105972104303</v>
      </c>
      <c r="H736">
        <v>23.902576460275299</v>
      </c>
      <c r="I736">
        <v>84.689413287083894</v>
      </c>
      <c r="J736">
        <v>56.955747275639702</v>
      </c>
      <c r="K736" t="s">
        <v>6</v>
      </c>
      <c r="L736">
        <v>7.2</v>
      </c>
      <c r="M736">
        <v>0</v>
      </c>
      <c r="N736">
        <f>LN(1+Table1[[#This Row],[Redness]])</f>
        <v>4.9852296569756538</v>
      </c>
      <c r="O736">
        <f>LN(1+Table1[[#This Row],[Greeness]])</f>
        <v>4.2799543117756631</v>
      </c>
      <c r="P736">
        <f>LN(1+Table1[[#This Row],[Blueness]])</f>
        <v>3.1457312314827215</v>
      </c>
      <c r="Q736">
        <f>LN(1+Table1[[#This Row],[L* lab]])</f>
        <v>3.6880018044150207</v>
      </c>
      <c r="R736">
        <f>LN(1+Table1[[#This Row],[a* lab]]+128)</f>
        <v>5.0561884985541239</v>
      </c>
      <c r="S736">
        <f>LN(1+Table1[[#This Row],[b* lab]]+128)</f>
        <v>5.1375680819053606</v>
      </c>
      <c r="T736">
        <f>LN(1+Table1[[#This Row],[Hue]])</f>
        <v>3.2149712704179856</v>
      </c>
      <c r="U736">
        <f>LN(1+Table1[[#This Row],[Saturation]])</f>
        <v>4.4507292857336038</v>
      </c>
      <c r="V736">
        <f>LN(1+Table1[[#This Row],[Value]])</f>
        <v>4.0596797413243513</v>
      </c>
    </row>
    <row r="737" spans="1:23" x14ac:dyDescent="0.3">
      <c r="A737">
        <v>900</v>
      </c>
      <c r="B737">
        <v>146.01208888619999</v>
      </c>
      <c r="C737">
        <v>72.012072704462994</v>
      </c>
      <c r="D737">
        <v>23.171573165538199</v>
      </c>
      <c r="E737">
        <v>39.263180024159297</v>
      </c>
      <c r="F737">
        <v>27.927073804316901</v>
      </c>
      <c r="G737">
        <v>41.205003920287901</v>
      </c>
      <c r="H737">
        <v>23.855565528552798</v>
      </c>
      <c r="I737">
        <v>84.130373490103395</v>
      </c>
      <c r="J737">
        <v>57.2596427004707</v>
      </c>
      <c r="K737" t="s">
        <v>6</v>
      </c>
      <c r="L737">
        <v>7.2</v>
      </c>
      <c r="M737">
        <v>0</v>
      </c>
      <c r="N737">
        <f>LN(1+Table1[[#This Row],[Redness]])</f>
        <v>4.9905148207185217</v>
      </c>
      <c r="O737">
        <f>LN(1+Table1[[#This Row],[Greeness]])</f>
        <v>4.2906248069878989</v>
      </c>
      <c r="P737">
        <f>LN(1+Table1[[#This Row],[Blueness]])</f>
        <v>3.1851772801247296</v>
      </c>
      <c r="Q737">
        <f>LN(1+Table1[[#This Row],[L* lab]])</f>
        <v>3.6954374042795872</v>
      </c>
      <c r="R737">
        <f>LN(1+Table1[[#This Row],[a* lab]]+128)</f>
        <v>5.0557811993739898</v>
      </c>
      <c r="S737">
        <f>LN(1+Table1[[#This Row],[b* lab]]+128)</f>
        <v>5.1370036159438044</v>
      </c>
      <c r="T737">
        <f>LN(1+Table1[[#This Row],[Hue]])</f>
        <v>3.2130816923979388</v>
      </c>
      <c r="U737">
        <f>LN(1+Table1[[#This Row],[Saturation]])</f>
        <v>4.4441838871775827</v>
      </c>
      <c r="V737">
        <f>LN(1+Table1[[#This Row],[Value]])</f>
        <v>4.0649096186678326</v>
      </c>
    </row>
    <row r="738" spans="1:23" x14ac:dyDescent="0.3">
      <c r="A738">
        <v>1200</v>
      </c>
      <c r="B738">
        <v>152.34897777497201</v>
      </c>
      <c r="C738">
        <v>78.588960115222605</v>
      </c>
      <c r="D738">
        <v>20.588519544743299</v>
      </c>
      <c r="E738">
        <v>41.682430376710698</v>
      </c>
      <c r="F738">
        <v>26.945614948966899</v>
      </c>
      <c r="G738">
        <v>44.761934919968901</v>
      </c>
      <c r="H738">
        <v>26.411766329379301</v>
      </c>
      <c r="I738">
        <v>86.485948350008798</v>
      </c>
      <c r="J738">
        <v>59.744697166655897</v>
      </c>
      <c r="K738" t="s">
        <v>6</v>
      </c>
      <c r="L738">
        <v>9.6</v>
      </c>
      <c r="M738">
        <v>0</v>
      </c>
      <c r="N738">
        <f>LN(1+Table1[[#This Row],[Redness]])</f>
        <v>5.0327162245776389</v>
      </c>
      <c r="O738">
        <f>LN(1+Table1[[#This Row],[Greeness]])</f>
        <v>4.3768753912118932</v>
      </c>
      <c r="P738">
        <f>LN(1+Table1[[#This Row],[Blueness]])</f>
        <v>3.0721616708343853</v>
      </c>
      <c r="Q738">
        <f>LN(1+Table1[[#This Row],[L* lab]])</f>
        <v>3.7537873689714027</v>
      </c>
      <c r="R738">
        <f>LN(1+Table1[[#This Row],[a* lab]]+128)</f>
        <v>5.0495073243447104</v>
      </c>
      <c r="S738">
        <f>LN(1+Table1[[#This Row],[b* lab]]+128)</f>
        <v>5.1576861722727099</v>
      </c>
      <c r="T738">
        <f>LN(1+Table1[[#This Row],[Hue]])</f>
        <v>3.3109723492957115</v>
      </c>
      <c r="U738">
        <f>LN(1+Table1[[#This Row],[Saturation]])</f>
        <v>4.471478190181954</v>
      </c>
      <c r="V738">
        <f>LN(1+Table1[[#This Row],[Value]])</f>
        <v>4.1066797889729498</v>
      </c>
    </row>
    <row r="739" spans="1:23" x14ac:dyDescent="0.3">
      <c r="A739">
        <v>1200</v>
      </c>
      <c r="B739">
        <v>165.9636611</v>
      </c>
      <c r="C739">
        <v>86.121463980000001</v>
      </c>
      <c r="D739">
        <v>23.361407830000001</v>
      </c>
      <c r="E739">
        <v>45.418821080000001</v>
      </c>
      <c r="F739">
        <v>28.722123119999999</v>
      </c>
      <c r="G739">
        <v>47.67374942</v>
      </c>
      <c r="H739">
        <v>26.40633849</v>
      </c>
      <c r="I739">
        <v>85.923781340000005</v>
      </c>
      <c r="J739">
        <v>65.083788670000004</v>
      </c>
      <c r="K739" t="s">
        <v>6</v>
      </c>
      <c r="L739" s="3">
        <v>9.6</v>
      </c>
      <c r="M739">
        <v>0</v>
      </c>
      <c r="N739">
        <f>LN(1+Table1[[#This Row],[Redness]])</f>
        <v>5.1177761905352384</v>
      </c>
      <c r="O739">
        <f>LN(1+Table1[[#This Row],[Greeness]])</f>
        <v>4.4673032826616614</v>
      </c>
      <c r="P739">
        <f>LN(1+Table1[[#This Row],[Blueness]])</f>
        <v>3.1930002338647023</v>
      </c>
      <c r="Q739">
        <f>LN(1+Table1[[#This Row],[L* lab]])</f>
        <v>3.8377050037120672</v>
      </c>
      <c r="R739">
        <f>LN(1+Table1[[#This Row],[a* lab]]+128)</f>
        <v>5.060834770242689</v>
      </c>
      <c r="S739">
        <f>LN(1+Table1[[#This Row],[b* lab]]+128)</f>
        <v>5.174304808131037</v>
      </c>
      <c r="T739">
        <f>LN(1+Table1[[#This Row],[Hue]])</f>
        <v>3.3107743183927854</v>
      </c>
      <c r="U739">
        <f>LN(1+Table1[[#This Row],[Saturation]])</f>
        <v>4.4650316581235172</v>
      </c>
      <c r="V739">
        <f>LN(1+Table1[[#This Row],[Value]])</f>
        <v>4.1909234621635889</v>
      </c>
      <c r="W739" t="s">
        <v>26</v>
      </c>
    </row>
    <row r="740" spans="1:23" x14ac:dyDescent="0.3">
      <c r="A740">
        <v>1200</v>
      </c>
      <c r="B740">
        <v>147.98435555283001</v>
      </c>
      <c r="C740">
        <v>75.488516367590606</v>
      </c>
      <c r="D740">
        <v>19.319747783448499</v>
      </c>
      <c r="E740">
        <v>40.317201566061797</v>
      </c>
      <c r="F740">
        <v>26.7400589598431</v>
      </c>
      <c r="G740">
        <v>43.835062526270796</v>
      </c>
      <c r="H740">
        <v>26.193109150024501</v>
      </c>
      <c r="I740">
        <v>86.944736346436699</v>
      </c>
      <c r="J740">
        <v>58.033080608953199</v>
      </c>
      <c r="K740" t="s">
        <v>6</v>
      </c>
      <c r="L740">
        <v>9.6</v>
      </c>
      <c r="M740">
        <v>0</v>
      </c>
      <c r="N740">
        <f>LN(1+Table1[[#This Row],[Redness]])</f>
        <v>5.003841304143231</v>
      </c>
      <c r="O740">
        <f>LN(1+Table1[[#This Row],[Greeness]])</f>
        <v>4.3371406167224773</v>
      </c>
      <c r="P740">
        <f>LN(1+Table1[[#This Row],[Blueness]])</f>
        <v>3.0115932104013834</v>
      </c>
      <c r="Q740">
        <f>LN(1+Table1[[#This Row],[L* lab]])</f>
        <v>3.7212789160639814</v>
      </c>
      <c r="R740">
        <f>LN(1+Table1[[#This Row],[a* lab]]+128)</f>
        <v>5.0481883287274449</v>
      </c>
      <c r="S740">
        <f>LN(1+Table1[[#This Row],[b* lab]]+128)</f>
        <v>5.1523377439250249</v>
      </c>
      <c r="T740">
        <f>LN(1+Table1[[#This Row],[Hue]])</f>
        <v>3.3029636011333059</v>
      </c>
      <c r="U740">
        <f>LN(1+Table1[[#This Row],[Saturation]])</f>
        <v>4.4767086211428646</v>
      </c>
      <c r="V740">
        <f>LN(1+Table1[[#This Row],[Value]])</f>
        <v>4.0780979750661137</v>
      </c>
    </row>
    <row r="741" spans="1:23" x14ac:dyDescent="0.3">
      <c r="A741">
        <v>1200</v>
      </c>
      <c r="B741">
        <v>158.35560559999999</v>
      </c>
      <c r="C741">
        <v>79.099321110000005</v>
      </c>
      <c r="D741">
        <v>18.39901828</v>
      </c>
      <c r="E741">
        <v>42.701790969999998</v>
      </c>
      <c r="F741">
        <v>29.17791695</v>
      </c>
      <c r="G741">
        <v>46.773581919999998</v>
      </c>
      <c r="H741">
        <v>26.022484840000001</v>
      </c>
      <c r="I741">
        <v>88.381201779999998</v>
      </c>
      <c r="J741">
        <v>62.100237470000003</v>
      </c>
      <c r="K741" t="s">
        <v>6</v>
      </c>
      <c r="L741" s="3">
        <v>9.6</v>
      </c>
      <c r="M741">
        <v>0</v>
      </c>
      <c r="N741">
        <f>LN(1+Table1[[#This Row],[Redness]])</f>
        <v>5.0711382181548776</v>
      </c>
      <c r="O741">
        <f>LN(1+Table1[[#This Row],[Greeness]])</f>
        <v>4.3832673785078091</v>
      </c>
      <c r="P741">
        <f>LN(1+Table1[[#This Row],[Blueness]])</f>
        <v>2.9652224606651392</v>
      </c>
      <c r="Q741">
        <f>LN(1+Table1[[#This Row],[L* lab]])</f>
        <v>3.7773890845569467</v>
      </c>
      <c r="R741">
        <f>LN(1+Table1[[#This Row],[a* lab]]+128)</f>
        <v>5.0637204561462985</v>
      </c>
      <c r="S741">
        <f>LN(1+Table1[[#This Row],[b* lab]]+128)</f>
        <v>5.1691967004662791</v>
      </c>
      <c r="T741">
        <f>LN(1+Table1[[#This Row],[Hue]])</f>
        <v>3.2966692912940938</v>
      </c>
      <c r="U741">
        <f>LN(1+Table1[[#This Row],[Saturation]])</f>
        <v>4.4929103891522137</v>
      </c>
      <c r="V741">
        <f>LN(1+Table1[[#This Row],[Value]])</f>
        <v>4.1447245329315283</v>
      </c>
      <c r="W741" t="s">
        <v>26</v>
      </c>
    </row>
    <row r="742" spans="1:23" x14ac:dyDescent="0.3">
      <c r="A742">
        <v>1200</v>
      </c>
      <c r="B742">
        <v>156.6053972</v>
      </c>
      <c r="C742">
        <v>77.032046579999999</v>
      </c>
      <c r="D742">
        <v>17.4453645</v>
      </c>
      <c r="E742">
        <v>41.975842810000003</v>
      </c>
      <c r="F742">
        <v>29.535087130000001</v>
      </c>
      <c r="G742">
        <v>46.429131069999997</v>
      </c>
      <c r="H742">
        <v>25.691291199999998</v>
      </c>
      <c r="I742">
        <v>88.860304429999999</v>
      </c>
      <c r="J742">
        <v>61.413881259999997</v>
      </c>
      <c r="K742" t="s">
        <v>6</v>
      </c>
      <c r="L742" s="3">
        <v>9.6</v>
      </c>
      <c r="M742">
        <v>0</v>
      </c>
      <c r="N742">
        <f>LN(1+Table1[[#This Row],[Redness]])</f>
        <v>5.0600944230302849</v>
      </c>
      <c r="O742">
        <f>LN(1+Table1[[#This Row],[Greeness]])</f>
        <v>4.3571195959021098</v>
      </c>
      <c r="P742">
        <f>LN(1+Table1[[#This Row],[Blueness]])</f>
        <v>2.9148130923063524</v>
      </c>
      <c r="Q742">
        <f>LN(1+Table1[[#This Row],[L* lab]])</f>
        <v>3.7606381627112788</v>
      </c>
      <c r="R742">
        <f>LN(1+Table1[[#This Row],[a* lab]]+128)</f>
        <v>5.0659759387239962</v>
      </c>
      <c r="S742">
        <f>LN(1+Table1[[#This Row],[b* lab]]+128)</f>
        <v>5.1672351497851228</v>
      </c>
      <c r="T742">
        <f>LN(1+Table1[[#This Row],[Hue]])</f>
        <v>3.28433733991581</v>
      </c>
      <c r="U742">
        <f>LN(1+Table1[[#This Row],[Saturation]])</f>
        <v>4.4982562914617814</v>
      </c>
      <c r="V742">
        <f>LN(1+Table1[[#This Row],[Value]])</f>
        <v>4.1337877067254389</v>
      </c>
      <c r="W742" t="s">
        <v>26</v>
      </c>
    </row>
    <row r="743" spans="1:23" x14ac:dyDescent="0.3">
      <c r="A743">
        <v>1200</v>
      </c>
      <c r="B743">
        <v>148.142755552827</v>
      </c>
      <c r="C743">
        <v>73.889761171348894</v>
      </c>
      <c r="D743">
        <v>19.158506927697601</v>
      </c>
      <c r="E743">
        <v>39.985330796985899</v>
      </c>
      <c r="F743">
        <v>27.684880898407599</v>
      </c>
      <c r="G743">
        <v>43.629926144675203</v>
      </c>
      <c r="H743">
        <v>25.459506022034301</v>
      </c>
      <c r="I743">
        <v>87.067537081915702</v>
      </c>
      <c r="J743">
        <v>58.095198256010903</v>
      </c>
      <c r="K743" t="s">
        <v>6</v>
      </c>
      <c r="L743">
        <v>9.6</v>
      </c>
      <c r="M743">
        <v>0</v>
      </c>
      <c r="N743">
        <f>LN(1+Table1[[#This Row],[Redness]])</f>
        <v>5.0049039382278329</v>
      </c>
      <c r="O743">
        <f>LN(1+Table1[[#This Row],[Greeness]])</f>
        <v>4.316017181196889</v>
      </c>
      <c r="P743">
        <f>LN(1+Table1[[#This Row],[Blueness]])</f>
        <v>3.003626379334396</v>
      </c>
      <c r="Q743">
        <f>LN(1+Table1[[#This Row],[L* lab]])</f>
        <v>3.7132142172444582</v>
      </c>
      <c r="R743">
        <f>LN(1+Table1[[#This Row],[a* lab]]+128)</f>
        <v>5.0542366603318678</v>
      </c>
      <c r="S743">
        <f>LN(1+Table1[[#This Row],[b* lab]]+128)</f>
        <v>5.1511501480039739</v>
      </c>
      <c r="T743">
        <f>LN(1+Table1[[#This Row],[Hue]])</f>
        <v>3.2756154896551859</v>
      </c>
      <c r="U743">
        <f>LN(1+Table1[[#This Row],[Saturation]])</f>
        <v>4.4781039869660768</v>
      </c>
      <c r="V743">
        <f>LN(1+Table1[[#This Row],[Value]])</f>
        <v>4.0791496733280388</v>
      </c>
    </row>
    <row r="744" spans="1:23" x14ac:dyDescent="0.3">
      <c r="A744">
        <v>1200</v>
      </c>
      <c r="B744">
        <v>146.95768888618301</v>
      </c>
      <c r="C744">
        <v>73.957672267197196</v>
      </c>
      <c r="D744">
        <v>21.7198721423165</v>
      </c>
      <c r="E744">
        <v>39.831514037618902</v>
      </c>
      <c r="F744">
        <v>27.214449751774001</v>
      </c>
      <c r="G744">
        <v>42.388473445059603</v>
      </c>
      <c r="H744">
        <v>25.026530236493699</v>
      </c>
      <c r="I744">
        <v>85.220322728987398</v>
      </c>
      <c r="J744">
        <v>57.630466229875701</v>
      </c>
      <c r="K744" t="s">
        <v>6</v>
      </c>
      <c r="L744">
        <v>9.6</v>
      </c>
      <c r="M744">
        <v>0</v>
      </c>
      <c r="N744">
        <f>LN(1+Table1[[#This Row],[Redness]])</f>
        <v>4.9969263469867808</v>
      </c>
      <c r="O744">
        <f>LN(1+Table1[[#This Row],[Greeness]])</f>
        <v>4.3169235844490421</v>
      </c>
      <c r="P744">
        <f>LN(1+Table1[[#This Row],[Blueness]])</f>
        <v>3.1232399662982293</v>
      </c>
      <c r="Q744">
        <f>LN(1+Table1[[#This Row],[L* lab]])</f>
        <v>3.7094541861433434</v>
      </c>
      <c r="R744">
        <f>LN(1+Table1[[#This Row],[a* lab]]+128)</f>
        <v>5.0512297411409008</v>
      </c>
      <c r="S744">
        <f>LN(1+Table1[[#This Row],[b* lab]]+128)</f>
        <v>5.1439327544569409</v>
      </c>
      <c r="T744">
        <f>LN(1+Table1[[#This Row],[Hue]])</f>
        <v>3.2591164114849902</v>
      </c>
      <c r="U744">
        <f>LN(1+Table1[[#This Row],[Saturation]])</f>
        <v>4.4569059123992876</v>
      </c>
      <c r="V744">
        <f>LN(1+Table1[[#This Row],[Value]])</f>
        <v>4.0712544630147036</v>
      </c>
    </row>
    <row r="745" spans="1:23" x14ac:dyDescent="0.3">
      <c r="A745">
        <v>1200</v>
      </c>
      <c r="B745">
        <v>146.04373333064399</v>
      </c>
      <c r="C745">
        <v>72.957850269681003</v>
      </c>
      <c r="D745">
        <v>20.879713063729</v>
      </c>
      <c r="E745">
        <v>39.462649369245398</v>
      </c>
      <c r="F745">
        <v>27.348217073657299</v>
      </c>
      <c r="G745">
        <v>42.354395013286101</v>
      </c>
      <c r="H745">
        <v>24.9647480617325</v>
      </c>
      <c r="I745">
        <v>85.703109207392501</v>
      </c>
      <c r="J745">
        <v>57.272052286527099</v>
      </c>
      <c r="K745" t="s">
        <v>6</v>
      </c>
      <c r="L745">
        <v>9.6</v>
      </c>
      <c r="M745">
        <v>0</v>
      </c>
      <c r="N745">
        <f>LN(1+Table1[[#This Row],[Redness]])</f>
        <v>4.9907300481833454</v>
      </c>
      <c r="O745">
        <f>LN(1+Table1[[#This Row],[Greeness]])</f>
        <v>4.3034953399753633</v>
      </c>
      <c r="P745">
        <f>LN(1+Table1[[#This Row],[Blueness]])</f>
        <v>3.0855598633786219</v>
      </c>
      <c r="Q745">
        <f>LN(1+Table1[[#This Row],[L* lab]])</f>
        <v>3.7003793107931648</v>
      </c>
      <c r="R745">
        <f>LN(1+Table1[[#This Row],[a* lab]]+128)</f>
        <v>5.0520856804084326</v>
      </c>
      <c r="S745">
        <f>LN(1+Table1[[#This Row],[b* lab]]+128)</f>
        <v>5.1437338973251263</v>
      </c>
      <c r="T745">
        <f>LN(1+Table1[[#This Row],[Hue]])</f>
        <v>3.2567397742541182</v>
      </c>
      <c r="U745">
        <f>LN(1+Table1[[#This Row],[Saturation]])</f>
        <v>4.4624897448204424</v>
      </c>
      <c r="V745">
        <f>LN(1+Table1[[#This Row],[Value]])</f>
        <v>4.0651226008286896</v>
      </c>
    </row>
    <row r="746" spans="1:23" x14ac:dyDescent="0.3">
      <c r="A746">
        <v>1200</v>
      </c>
      <c r="B746">
        <v>146.85973333062901</v>
      </c>
      <c r="C746">
        <v>72.099717129209694</v>
      </c>
      <c r="D746">
        <v>20.359013541684298</v>
      </c>
      <c r="E746">
        <v>39.397742694583002</v>
      </c>
      <c r="F746">
        <v>28.151817478878201</v>
      </c>
      <c r="G746">
        <v>42.571289052859299</v>
      </c>
      <c r="H746">
        <v>24.540905541335999</v>
      </c>
      <c r="I746">
        <v>86.137103016624906</v>
      </c>
      <c r="J746">
        <v>57.592052286521202</v>
      </c>
      <c r="K746" t="s">
        <v>6</v>
      </c>
      <c r="L746">
        <v>9.6</v>
      </c>
      <c r="M746">
        <v>0</v>
      </c>
      <c r="N746">
        <f>LN(1+Table1[[#This Row],[Redness]])</f>
        <v>4.9962640766012152</v>
      </c>
      <c r="O746">
        <f>LN(1+Table1[[#This Row],[Greeness]])</f>
        <v>4.2918244971067914</v>
      </c>
      <c r="P746">
        <f>LN(1+Table1[[#This Row],[Blueness]])</f>
        <v>3.0614738305201326</v>
      </c>
      <c r="Q746">
        <f>LN(1+Table1[[#This Row],[L* lab]])</f>
        <v>3.6987739095096397</v>
      </c>
      <c r="R746">
        <f>LN(1+Table1[[#This Row],[a* lab]]+128)</f>
        <v>5.0572123284256856</v>
      </c>
      <c r="S746">
        <f>LN(1+Table1[[#This Row],[b* lab]]+128)</f>
        <v>5.1449988598436693</v>
      </c>
      <c r="T746">
        <f>LN(1+Table1[[#This Row],[Hue]])</f>
        <v>3.2402813057838382</v>
      </c>
      <c r="U746">
        <f>LN(1+Table1[[#This Row],[Saturation]])</f>
        <v>4.4674827749751405</v>
      </c>
      <c r="V746">
        <f>LN(1+Table1[[#This Row],[Value]])</f>
        <v>4.0705990608749829</v>
      </c>
    </row>
    <row r="747" spans="1:23" x14ac:dyDescent="0.3">
      <c r="A747">
        <v>1200</v>
      </c>
      <c r="B747">
        <v>144.401244441785</v>
      </c>
      <c r="C747">
        <v>71.089228467424107</v>
      </c>
      <c r="D747">
        <v>20.453589214517301</v>
      </c>
      <c r="E747">
        <v>38.790079325340002</v>
      </c>
      <c r="F747">
        <v>27.6584350793715</v>
      </c>
      <c r="G747">
        <v>41.8555114640711</v>
      </c>
      <c r="H747">
        <v>24.511462920405599</v>
      </c>
      <c r="I747">
        <v>85.835586602050995</v>
      </c>
      <c r="J747">
        <v>56.627938996778603</v>
      </c>
      <c r="K747" t="s">
        <v>6</v>
      </c>
      <c r="L747">
        <v>9.6</v>
      </c>
      <c r="M747">
        <v>0</v>
      </c>
      <c r="N747">
        <f>LN(1+Table1[[#This Row],[Redness]])</f>
        <v>4.9794971238095949</v>
      </c>
      <c r="O747">
        <f>LN(1+Table1[[#This Row],[Greeness]])</f>
        <v>4.2779046360069364</v>
      </c>
      <c r="P747">
        <f>LN(1+Table1[[#This Row],[Blueness]])</f>
        <v>3.0658919607241581</v>
      </c>
      <c r="Q747">
        <f>LN(1+Table1[[#This Row],[L* lab]])</f>
        <v>3.6836176180367497</v>
      </c>
      <c r="R747">
        <f>LN(1+Table1[[#This Row],[a* lab]]+128)</f>
        <v>5.0540678626090481</v>
      </c>
      <c r="S747">
        <f>LN(1+Table1[[#This Row],[b* lab]]+128)</f>
        <v>5.1408182371224695</v>
      </c>
      <c r="T747">
        <f>LN(1+Table1[[#This Row],[Hue]])</f>
        <v>3.239127877448122</v>
      </c>
      <c r="U747">
        <f>LN(1+Table1[[#This Row],[Saturation]])</f>
        <v>4.4640165215404686</v>
      </c>
      <c r="V747">
        <f>LN(1+Table1[[#This Row],[Value]])</f>
        <v>4.0540075021295436</v>
      </c>
    </row>
    <row r="748" spans="1:23" x14ac:dyDescent="0.3">
      <c r="A748">
        <v>1200</v>
      </c>
      <c r="B748">
        <v>160.28492779999999</v>
      </c>
      <c r="C748">
        <v>79.961232030000005</v>
      </c>
      <c r="D748">
        <v>24.591041570000002</v>
      </c>
      <c r="E748">
        <v>43.220518779999999</v>
      </c>
      <c r="F748">
        <v>29.698064349999999</v>
      </c>
      <c r="G748">
        <v>44.921688430000003</v>
      </c>
      <c r="H748">
        <v>24.483132739999999</v>
      </c>
      <c r="I748">
        <v>84.657920169999997</v>
      </c>
      <c r="J748">
        <v>62.856834419999998</v>
      </c>
      <c r="K748" t="s">
        <v>6</v>
      </c>
      <c r="L748" s="3">
        <v>9.6</v>
      </c>
      <c r="M748">
        <v>0</v>
      </c>
      <c r="N748">
        <f>LN(1+Table1[[#This Row],[Redness]])</f>
        <v>5.0831725387317066</v>
      </c>
      <c r="O748">
        <f>LN(1+Table1[[#This Row],[Greeness]])</f>
        <v>4.3939704231852241</v>
      </c>
      <c r="P748">
        <f>LN(1+Table1[[#This Row],[Blueness]])</f>
        <v>3.242242351570817</v>
      </c>
      <c r="Q748">
        <f>LN(1+Table1[[#This Row],[L* lab]])</f>
        <v>3.7891889071560509</v>
      </c>
      <c r="R748">
        <f>LN(1+Table1[[#This Row],[a* lab]]+128)</f>
        <v>5.0670034305455669</v>
      </c>
      <c r="S748">
        <f>LN(1+Table1[[#This Row],[b* lab]]+128)</f>
        <v>5.1586051314099528</v>
      </c>
      <c r="T748">
        <f>LN(1+Table1[[#This Row],[Hue]])</f>
        <v>3.2380167721259481</v>
      </c>
      <c r="U748">
        <f>LN(1+Table1[[#This Row],[Saturation]])</f>
        <v>4.4503616918317546</v>
      </c>
      <c r="V748">
        <f>LN(1+Table1[[#This Row],[Value]])</f>
        <v>4.1566436154347333</v>
      </c>
      <c r="W748" t="s">
        <v>26</v>
      </c>
    </row>
    <row r="749" spans="1:23" x14ac:dyDescent="0.3">
      <c r="A749">
        <v>1200</v>
      </c>
      <c r="B749">
        <v>144.518577775116</v>
      </c>
      <c r="C749">
        <v>70.758206319597704</v>
      </c>
      <c r="D749">
        <v>21.223349859943401</v>
      </c>
      <c r="E749">
        <v>38.740368765700197</v>
      </c>
      <c r="F749">
        <v>27.914647984675302</v>
      </c>
      <c r="G749">
        <v>41.493176183014803</v>
      </c>
      <c r="H749">
        <v>24.105485977316501</v>
      </c>
      <c r="I749">
        <v>85.314448711937303</v>
      </c>
      <c r="J749">
        <v>56.673952068673202</v>
      </c>
      <c r="K749" t="s">
        <v>6</v>
      </c>
      <c r="L749">
        <v>9.6</v>
      </c>
      <c r="M749">
        <v>0</v>
      </c>
      <c r="N749">
        <f>LN(1+Table1[[#This Row],[Redness]])</f>
        <v>4.9803037607640581</v>
      </c>
      <c r="O749">
        <f>LN(1+Table1[[#This Row],[Greeness]])</f>
        <v>4.2733022218918491</v>
      </c>
      <c r="P749">
        <f>LN(1+Table1[[#This Row],[Blueness]])</f>
        <v>3.1011435316218523</v>
      </c>
      <c r="Q749">
        <f>LN(1+Table1[[#This Row],[L* lab]])</f>
        <v>3.682367516539605</v>
      </c>
      <c r="R749">
        <f>LN(1+Table1[[#This Row],[a* lab]]+128)</f>
        <v>5.0557020141109383</v>
      </c>
      <c r="S749">
        <f>LN(1+Table1[[#This Row],[b* lab]]+128)</f>
        <v>5.1386952735356441</v>
      </c>
      <c r="T749">
        <f>LN(1+Table1[[#This Row],[Hue]])</f>
        <v>3.2230863870892517</v>
      </c>
      <c r="U749">
        <f>LN(1+Table1[[#This Row],[Saturation]])</f>
        <v>4.4579970083158011</v>
      </c>
      <c r="V749">
        <f>LN(1+Table1[[#This Row],[Value]])</f>
        <v>4.0548056343008723</v>
      </c>
    </row>
    <row r="750" spans="1:23" x14ac:dyDescent="0.3">
      <c r="A750">
        <v>1200</v>
      </c>
      <c r="B750">
        <v>144.99928888621901</v>
      </c>
      <c r="C750">
        <v>71.287272867358794</v>
      </c>
      <c r="D750">
        <v>22.004132482278699</v>
      </c>
      <c r="E750">
        <v>38.937525101135201</v>
      </c>
      <c r="F750">
        <v>27.8539639557162</v>
      </c>
      <c r="G750">
        <v>41.360971434485997</v>
      </c>
      <c r="H750">
        <v>24.041503011659</v>
      </c>
      <c r="I750">
        <v>84.824661795724097</v>
      </c>
      <c r="J750">
        <v>56.862466229889797</v>
      </c>
      <c r="K750" t="s">
        <v>6</v>
      </c>
      <c r="L750">
        <v>9.6</v>
      </c>
      <c r="M750">
        <v>0</v>
      </c>
      <c r="N750">
        <f>LN(1+Table1[[#This Row],[Redness]])</f>
        <v>4.9836017510541391</v>
      </c>
      <c r="O750">
        <f>LN(1+Table1[[#This Row],[Greeness]])</f>
        <v>4.2806480814058574</v>
      </c>
      <c r="P750">
        <f>LN(1+Table1[[#This Row],[Blueness]])</f>
        <v>3.1356738729324158</v>
      </c>
      <c r="Q750">
        <f>LN(1+Table1[[#This Row],[L* lab]])</f>
        <v>3.6873163606479835</v>
      </c>
      <c r="R750">
        <f>LN(1+Table1[[#This Row],[a* lab]]+128)</f>
        <v>5.0553152065884115</v>
      </c>
      <c r="S750">
        <f>LN(1+Table1[[#This Row],[b* lab]]+128)</f>
        <v>5.1379195472839179</v>
      </c>
      <c r="T750">
        <f>LN(1+Table1[[#This Row],[Hue]])</f>
        <v>3.2205345688577802</v>
      </c>
      <c r="U750">
        <f>LN(1+Table1[[#This Row],[Saturation]])</f>
        <v>4.4523063987094149</v>
      </c>
      <c r="V750">
        <f>LN(1+Table1[[#This Row],[Value]])</f>
        <v>4.0580689227303415</v>
      </c>
    </row>
    <row r="751" spans="1:23" x14ac:dyDescent="0.3">
      <c r="A751">
        <v>1200</v>
      </c>
      <c r="B751">
        <v>143.780266664019</v>
      </c>
      <c r="C751">
        <v>69.857050966573297</v>
      </c>
      <c r="D751">
        <v>21.7586268353195</v>
      </c>
      <c r="E751">
        <v>38.4296930773775</v>
      </c>
      <c r="F751">
        <v>28.111003563538599</v>
      </c>
      <c r="G751">
        <v>40.9399446294615</v>
      </c>
      <c r="H751">
        <v>23.650767617339099</v>
      </c>
      <c r="I751">
        <v>84.866750257068105</v>
      </c>
      <c r="J751">
        <v>56.384418299615398</v>
      </c>
      <c r="K751" t="s">
        <v>6</v>
      </c>
      <c r="L751">
        <v>9.6</v>
      </c>
      <c r="M751">
        <v>0</v>
      </c>
      <c r="N751">
        <f>LN(1+Table1[[#This Row],[Redness]])</f>
        <v>4.9752171907200404</v>
      </c>
      <c r="O751">
        <f>LN(1+Table1[[#This Row],[Greeness]])</f>
        <v>4.2606644808260574</v>
      </c>
      <c r="P751">
        <f>LN(1+Table1[[#This Row],[Blueness]])</f>
        <v>3.1249442750707268</v>
      </c>
      <c r="Q751">
        <f>LN(1+Table1[[#This Row],[L* lab]])</f>
        <v>3.6745191638718575</v>
      </c>
      <c r="R751">
        <f>LN(1+Table1[[#This Row],[a* lab]]+128)</f>
        <v>5.0569525845881316</v>
      </c>
      <c r="S751">
        <f>LN(1+Table1[[#This Row],[b* lab]]+128)</f>
        <v>5.1354451077512957</v>
      </c>
      <c r="T751">
        <f>LN(1+Table1[[#This Row],[Hue]])</f>
        <v>3.2048080406666823</v>
      </c>
      <c r="U751">
        <f>LN(1+Table1[[#This Row],[Saturation]])</f>
        <v>4.452796679052315</v>
      </c>
      <c r="V751">
        <f>LN(1+Table1[[#This Row],[Value]])</f>
        <v>4.0497728082792221</v>
      </c>
    </row>
    <row r="752" spans="1:23" x14ac:dyDescent="0.3">
      <c r="A752">
        <v>1200</v>
      </c>
      <c r="B752">
        <v>144.76835555289</v>
      </c>
      <c r="C752">
        <v>70.590028579617297</v>
      </c>
      <c r="D752">
        <v>22.738871684945298</v>
      </c>
      <c r="E752">
        <v>38.753168769703798</v>
      </c>
      <c r="F752">
        <v>28.1610008254424</v>
      </c>
      <c r="G752">
        <v>40.855631237155301</v>
      </c>
      <c r="H752">
        <v>23.5276698931814</v>
      </c>
      <c r="I752">
        <v>84.292926725524694</v>
      </c>
      <c r="J752">
        <v>56.771904138388201</v>
      </c>
      <c r="K752" t="s">
        <v>6</v>
      </c>
      <c r="L752">
        <v>9.6</v>
      </c>
      <c r="M752">
        <v>0</v>
      </c>
      <c r="N752">
        <f>LN(1+Table1[[#This Row],[Redness]])</f>
        <v>4.9820187559143108</v>
      </c>
      <c r="O752">
        <f>LN(1+Table1[[#This Row],[Greeness]])</f>
        <v>4.2709557986204363</v>
      </c>
      <c r="P752">
        <f>LN(1+Table1[[#This Row],[Blueness]])</f>
        <v>3.1671138600379316</v>
      </c>
      <c r="Q752">
        <f>LN(1+Table1[[#This Row],[L* lab]])</f>
        <v>3.6826895553998966</v>
      </c>
      <c r="R752">
        <f>LN(1+Table1[[#This Row],[a* lab]]+128)</f>
        <v>5.0572707628644489</v>
      </c>
      <c r="S752">
        <f>LN(1+Table1[[#This Row],[b* lab]]+128)</f>
        <v>5.1349488482351351</v>
      </c>
      <c r="T752">
        <f>LN(1+Table1[[#This Row],[Hue]])</f>
        <v>3.1998018636721861</v>
      </c>
      <c r="U752">
        <f>LN(1+Table1[[#This Row],[Saturation]])</f>
        <v>4.4460915287325955</v>
      </c>
      <c r="V752">
        <f>LN(1+Table1[[#This Row],[Value]])</f>
        <v>4.0565025699283312</v>
      </c>
    </row>
    <row r="753" spans="1:22" x14ac:dyDescent="0.3">
      <c r="A753">
        <v>1200</v>
      </c>
      <c r="B753">
        <v>142.12071110849399</v>
      </c>
      <c r="C753">
        <v>68.512873490893995</v>
      </c>
      <c r="D753">
        <v>21.072242111996101</v>
      </c>
      <c r="E753">
        <v>37.869764463980196</v>
      </c>
      <c r="F753">
        <v>28.114452047163098</v>
      </c>
      <c r="G753">
        <v>40.631299174820803</v>
      </c>
      <c r="H753">
        <v>23.5148606697059</v>
      </c>
      <c r="I753">
        <v>85.172996991332496</v>
      </c>
      <c r="J753">
        <v>55.7336121994095</v>
      </c>
      <c r="K753" t="s">
        <v>6</v>
      </c>
      <c r="L753">
        <v>9.6</v>
      </c>
      <c r="M753">
        <v>0</v>
      </c>
      <c r="N753">
        <f>LN(1+Table1[[#This Row],[Redness]])</f>
        <v>4.9636884078053223</v>
      </c>
      <c r="O753">
        <f>LN(1+Table1[[#This Row],[Greeness]])</f>
        <v>4.2415119655025784</v>
      </c>
      <c r="P753">
        <f>LN(1+Table1[[#This Row],[Blueness]])</f>
        <v>3.0943208060463832</v>
      </c>
      <c r="Q753">
        <f>LN(1+Table1[[#This Row],[L* lab]])</f>
        <v>3.660216685262037</v>
      </c>
      <c r="R753">
        <f>LN(1+Table1[[#This Row],[a* lab]]+128)</f>
        <v>5.0569745336922738</v>
      </c>
      <c r="S753">
        <f>LN(1+Table1[[#This Row],[b* lab]]+128)</f>
        <v>5.1336272533524454</v>
      </c>
      <c r="T753">
        <f>LN(1+Table1[[#This Row],[Hue]])</f>
        <v>3.1992794916159424</v>
      </c>
      <c r="U753">
        <f>LN(1+Table1[[#This Row],[Saturation]])</f>
        <v>4.4563568686321569</v>
      </c>
      <c r="V753">
        <f>LN(1+Table1[[#This Row],[Value]])</f>
        <v>4.0383668428423301</v>
      </c>
    </row>
    <row r="754" spans="1:22" x14ac:dyDescent="0.3">
      <c r="A754">
        <v>0</v>
      </c>
      <c r="B754">
        <v>194.28764444086701</v>
      </c>
      <c r="C754">
        <v>184.25506970051899</v>
      </c>
      <c r="D754">
        <v>9.7570717284186603</v>
      </c>
      <c r="E754">
        <v>73.490864087247701</v>
      </c>
      <c r="F754">
        <v>-12.3914877014571</v>
      </c>
      <c r="G754">
        <v>73.949187705393499</v>
      </c>
      <c r="H754">
        <v>56.737914614512803</v>
      </c>
      <c r="I754">
        <v>94.978027678240593</v>
      </c>
      <c r="J754">
        <v>76.191233114065497</v>
      </c>
      <c r="K754" t="s">
        <v>2</v>
      </c>
      <c r="L754" s="2">
        <v>0</v>
      </c>
      <c r="M754">
        <v>0</v>
      </c>
      <c r="N754">
        <f>LN(1+Table1[[#This Row],[Redness]])</f>
        <v>5.2744735713696596</v>
      </c>
      <c r="O754">
        <f>LN(1+Table1[[#This Row],[Greeness]])</f>
        <v>5.2217336306061535</v>
      </c>
      <c r="P754">
        <f>LN(1+Table1[[#This Row],[Blueness]])</f>
        <v>2.3755633734966768</v>
      </c>
      <c r="Q754">
        <f>LN(1+Table1[[#This Row],[L* lab]])</f>
        <v>4.3106764881645043</v>
      </c>
      <c r="R754">
        <f>LN(1+Table1[[#This Row],[a* lab]]+128)</f>
        <v>4.7588222755273781</v>
      </c>
      <c r="S754">
        <v>5.312955640839812</v>
      </c>
      <c r="T754">
        <v>4.0559140567573584</v>
      </c>
      <c r="U754">
        <f>LN(1+Table1[[#This Row],[Saturation]])</f>
        <v>4.5641192869195288</v>
      </c>
      <c r="V754">
        <v>4.3462858898835925</v>
      </c>
    </row>
    <row r="755" spans="1:22" x14ac:dyDescent="0.3">
      <c r="A755">
        <v>0</v>
      </c>
      <c r="B755">
        <v>194.341133329755</v>
      </c>
      <c r="C755">
        <v>184.305714133582</v>
      </c>
      <c r="D755">
        <v>9.9482008078444792</v>
      </c>
      <c r="E755">
        <v>73.509701730828994</v>
      </c>
      <c r="F755">
        <v>-12.392130604715399</v>
      </c>
      <c r="G755">
        <v>73.946277230668201</v>
      </c>
      <c r="H755">
        <v>56.734554065954498</v>
      </c>
      <c r="I755">
        <v>94.881062677058395</v>
      </c>
      <c r="J755">
        <v>76.212209148923506</v>
      </c>
      <c r="K755" t="s">
        <v>2</v>
      </c>
      <c r="L755" s="2">
        <v>0</v>
      </c>
      <c r="M755">
        <v>0</v>
      </c>
      <c r="N755">
        <f>LN(1+Table1[[#This Row],[Redness]])</f>
        <v>5.2747474318339478</v>
      </c>
      <c r="O755">
        <f>LN(1+Table1[[#This Row],[Greeness]])</f>
        <v>5.2220069700181346</v>
      </c>
      <c r="P755">
        <f>LN(1+Table1[[#This Row],[Blueness]])</f>
        <v>2.3931751329762858</v>
      </c>
      <c r="Q755">
        <f>LN(1+Table1[[#This Row],[L* lab]])</f>
        <v>4.3109293414819154</v>
      </c>
      <c r="R755">
        <f>LN(1+Table1[[#This Row],[a* lab]]+128)</f>
        <v>4.7588167621646056</v>
      </c>
      <c r="S755">
        <v>5.3129412998334358</v>
      </c>
      <c r="T755">
        <v>4.0558558515661529</v>
      </c>
      <c r="U755">
        <f>LN(1+Table1[[#This Row],[Saturation]])</f>
        <v>4.5631084929117138</v>
      </c>
      <c r="V755">
        <v>4.3465575941238557</v>
      </c>
    </row>
    <row r="756" spans="1:22" x14ac:dyDescent="0.3">
      <c r="A756">
        <v>0</v>
      </c>
      <c r="B756">
        <v>192.42166666312301</v>
      </c>
      <c r="C756">
        <v>182.145447952426</v>
      </c>
      <c r="D756">
        <v>9.2988819262234603</v>
      </c>
      <c r="E756">
        <v>72.758465294110096</v>
      </c>
      <c r="F756">
        <v>-12.1347019304662</v>
      </c>
      <c r="G756">
        <v>73.381015070293302</v>
      </c>
      <c r="H756">
        <v>56.633007063934201</v>
      </c>
      <c r="I756">
        <v>95.167445492246301</v>
      </c>
      <c r="J756">
        <v>75.459477122793601</v>
      </c>
      <c r="K756" t="s">
        <v>2</v>
      </c>
      <c r="L756" s="2">
        <v>0</v>
      </c>
      <c r="M756">
        <v>0</v>
      </c>
      <c r="N756">
        <f>LN(1+Table1[[#This Row],[Redness]])</f>
        <v>5.2648726070603109</v>
      </c>
      <c r="O756">
        <f>LN(1+Table1[[#This Row],[Greeness]])</f>
        <v>5.210280634711344</v>
      </c>
      <c r="P756">
        <f>LN(1+Table1[[#This Row],[Blueness]])</f>
        <v>2.3320353384914285</v>
      </c>
      <c r="Q756">
        <f>LN(1+Table1[[#This Row],[L* lab]])</f>
        <v>4.3007957722817407</v>
      </c>
      <c r="R756">
        <f>LN(1+Table1[[#This Row],[a* lab]]+128)</f>
        <v>4.7610219729934693</v>
      </c>
      <c r="S756">
        <v>5.3101521339540882</v>
      </c>
      <c r="T756">
        <v>4.0540954428819331</v>
      </c>
      <c r="U756">
        <f>LN(1+Table1[[#This Row],[Saturation]])</f>
        <v>4.566090895953451</v>
      </c>
      <c r="V756">
        <v>4.3367608896729974</v>
      </c>
    </row>
    <row r="757" spans="1:22" x14ac:dyDescent="0.3">
      <c r="A757">
        <v>0</v>
      </c>
      <c r="B757">
        <v>192.832355552005</v>
      </c>
      <c r="C757">
        <v>182.54200341885701</v>
      </c>
      <c r="D757">
        <v>10.092219824674901</v>
      </c>
      <c r="E757">
        <v>72.901712555374104</v>
      </c>
      <c r="F757">
        <v>-12.1478785758976</v>
      </c>
      <c r="G757">
        <v>73.411741700943296</v>
      </c>
      <c r="H757">
        <v>56.621316244888298</v>
      </c>
      <c r="I757">
        <v>94.766324460547693</v>
      </c>
      <c r="J757">
        <v>75.620531589021496</v>
      </c>
      <c r="K757" t="s">
        <v>2</v>
      </c>
      <c r="L757" s="2">
        <v>0</v>
      </c>
      <c r="M757">
        <v>0</v>
      </c>
      <c r="N757">
        <f>LN(1+Table1[[#This Row],[Redness]])</f>
        <v>5.266993638834232</v>
      </c>
      <c r="O757">
        <f>LN(1+Table1[[#This Row],[Greeness]])</f>
        <v>5.2124435427658424</v>
      </c>
      <c r="P757">
        <f>LN(1+Table1[[#This Row],[Blueness]])</f>
        <v>2.4062439458653828</v>
      </c>
      <c r="Q757">
        <f>LN(1+Table1[[#This Row],[L* lab]])</f>
        <v>4.3027360016419918</v>
      </c>
      <c r="R757">
        <f>LN(1+Table1[[#This Row],[a* lab]]+128)</f>
        <v>4.7609092159257766</v>
      </c>
      <c r="S757">
        <v>5.3103039480870979</v>
      </c>
      <c r="T757">
        <v>4.0538925729374427</v>
      </c>
      <c r="U757">
        <f>LN(1+Table1[[#This Row],[Saturation]])</f>
        <v>4.5619111039784945</v>
      </c>
      <c r="V757">
        <v>4.3388650772414072</v>
      </c>
    </row>
    <row r="758" spans="1:22" x14ac:dyDescent="0.3">
      <c r="A758">
        <v>0</v>
      </c>
      <c r="B758">
        <v>188.08304444098101</v>
      </c>
      <c r="C758">
        <v>178.02380443430499</v>
      </c>
      <c r="D758">
        <v>9.6268301827245892</v>
      </c>
      <c r="E758">
        <v>71.265133027534205</v>
      </c>
      <c r="F758">
        <v>-11.9208155204624</v>
      </c>
      <c r="G758">
        <v>72.055394739365596</v>
      </c>
      <c r="H758">
        <v>56.617913234855799</v>
      </c>
      <c r="I758">
        <v>94.881606573661401</v>
      </c>
      <c r="J758">
        <v>73.758056643521996</v>
      </c>
      <c r="K758" t="s">
        <v>2</v>
      </c>
      <c r="L758" s="2">
        <v>0</v>
      </c>
      <c r="M758">
        <v>0</v>
      </c>
      <c r="N758">
        <f>LN(1+Table1[[#This Row],[Redness]])</f>
        <v>5.2421863071333679</v>
      </c>
      <c r="O758">
        <f>LN(1+Table1[[#This Row],[Greeness]])</f>
        <v>5.1875187826654532</v>
      </c>
      <c r="P758">
        <f>LN(1+Table1[[#This Row],[Blueness]])</f>
        <v>2.3633819524684494</v>
      </c>
      <c r="Q758">
        <f>LN(1+Table1[[#This Row],[L* lab]])</f>
        <v>4.2803417587284782</v>
      </c>
      <c r="R758">
        <f>LN(1+Table1[[#This Row],[a* lab]]+128)</f>
        <v>4.7628504963017972</v>
      </c>
      <c r="S758">
        <v>5.303580465807789</v>
      </c>
      <c r="T758">
        <v>4.0538335130140322</v>
      </c>
      <c r="U758">
        <f>LN(1+Table1[[#This Row],[Saturation]])</f>
        <v>4.5631141655132179</v>
      </c>
      <c r="V758">
        <v>4.3142569876470622</v>
      </c>
    </row>
    <row r="759" spans="1:22" x14ac:dyDescent="0.3">
      <c r="A759">
        <v>0</v>
      </c>
      <c r="B759">
        <v>191.47266666314101</v>
      </c>
      <c r="C759">
        <v>180.98995932322899</v>
      </c>
      <c r="D759">
        <v>9.3908576569226199</v>
      </c>
      <c r="E759">
        <v>72.363078040046403</v>
      </c>
      <c r="F759">
        <v>-11.9569590045976</v>
      </c>
      <c r="G759">
        <v>73.033083520353301</v>
      </c>
      <c r="H759">
        <v>56.545715116586699</v>
      </c>
      <c r="I759">
        <v>95.095457842322702</v>
      </c>
      <c r="J759">
        <v>75.087320260055293</v>
      </c>
      <c r="K759" t="s">
        <v>2</v>
      </c>
      <c r="L759" s="2">
        <v>0</v>
      </c>
      <c r="M759">
        <v>0</v>
      </c>
      <c r="N759">
        <f>LN(1+Table1[[#This Row],[Redness]])</f>
        <v>5.2599541522858049</v>
      </c>
      <c r="O759">
        <f>LN(1+Table1[[#This Row],[Greeness]])</f>
        <v>5.2039515170012676</v>
      </c>
      <c r="P759">
        <f>LN(1+Table1[[#This Row],[Blueness]])</f>
        <v>2.3409263480876836</v>
      </c>
      <c r="Q759">
        <f>LN(1+Table1[[#This Row],[L* lab]])</f>
        <v>4.2954207850838966</v>
      </c>
      <c r="R759">
        <f>LN(1+Table1[[#This Row],[a* lab]]+128)</f>
        <v>4.7625417389051083</v>
      </c>
      <c r="S759">
        <v>5.308431463794486</v>
      </c>
      <c r="T759">
        <v>4.0525796774278975</v>
      </c>
      <c r="U759">
        <f>LN(1+Table1[[#This Row],[Saturation]])</f>
        <v>4.5653420499510338</v>
      </c>
      <c r="V759">
        <v>4.3318816315377102</v>
      </c>
    </row>
    <row r="760" spans="1:22" x14ac:dyDescent="0.3">
      <c r="A760">
        <v>0</v>
      </c>
      <c r="B760">
        <v>190.725311107599</v>
      </c>
      <c r="C760">
        <v>180.17709283925001</v>
      </c>
      <c r="D760">
        <v>9.3339033689830302</v>
      </c>
      <c r="E760">
        <v>72.077011033992505</v>
      </c>
      <c r="F760">
        <v>-11.8684696247152</v>
      </c>
      <c r="G760">
        <v>72.798947844574897</v>
      </c>
      <c r="H760">
        <v>56.510898151179703</v>
      </c>
      <c r="I760">
        <v>95.106101379634197</v>
      </c>
      <c r="J760">
        <v>74.794239650038904</v>
      </c>
      <c r="K760" t="s">
        <v>2</v>
      </c>
      <c r="L760" s="2">
        <v>0</v>
      </c>
      <c r="M760">
        <v>0</v>
      </c>
      <c r="N760">
        <f>LN(1+Table1[[#This Row],[Redness]])</f>
        <v>5.2560636763258302</v>
      </c>
      <c r="O760">
        <f>LN(1+Table1[[#This Row],[Greeness]])</f>
        <v>5.1994749664078599</v>
      </c>
      <c r="P760">
        <f>LN(1+Table1[[#This Row],[Blueness]])</f>
        <v>2.3354300790358113</v>
      </c>
      <c r="Q760">
        <f>LN(1+Table1[[#This Row],[L* lab]])</f>
        <v>4.2915138307553811</v>
      </c>
      <c r="R760">
        <f>LN(1+Table1[[#This Row],[a* lab]]+128)</f>
        <v>4.76329749460972</v>
      </c>
      <c r="S760">
        <v>5.3072718940534633</v>
      </c>
      <c r="T760">
        <v>4.051974462908178</v>
      </c>
      <c r="U760">
        <f>LN(1+Table1[[#This Row],[Saturation]])</f>
        <v>4.5654528038633897</v>
      </c>
      <c r="V760">
        <v>4.3280222956978198</v>
      </c>
    </row>
    <row r="761" spans="1:22" x14ac:dyDescent="0.3">
      <c r="A761">
        <v>0</v>
      </c>
      <c r="B761">
        <v>190.775799996487</v>
      </c>
      <c r="C761">
        <v>180.177537283595</v>
      </c>
      <c r="D761">
        <v>9.2666159776911599</v>
      </c>
      <c r="E761">
        <v>72.0807484337668</v>
      </c>
      <c r="F761">
        <v>-11.846822852936</v>
      </c>
      <c r="G761">
        <v>72.812302110248197</v>
      </c>
      <c r="H761">
        <v>56.496619351736697</v>
      </c>
      <c r="I761">
        <v>95.1426669536378</v>
      </c>
      <c r="J761">
        <v>74.814039214308707</v>
      </c>
      <c r="K761" t="s">
        <v>2</v>
      </c>
      <c r="L761">
        <v>0</v>
      </c>
      <c r="M761">
        <v>0</v>
      </c>
      <c r="N761">
        <f>LN(1+Table1[[#This Row],[Redness]])</f>
        <v>5.2563269813735491</v>
      </c>
      <c r="O761">
        <f>LN(1+Table1[[#This Row],[Greeness]])</f>
        <v>5.1994774194983302</v>
      </c>
      <c r="P761">
        <f>LN(1+Table1[[#This Row],[Blueness]])</f>
        <v>2.3288974640613569</v>
      </c>
      <c r="Q761">
        <f>LN(1+Table1[[#This Row],[L* lab]])</f>
        <v>4.2915649727513818</v>
      </c>
      <c r="R761">
        <f>LN(1+Table1[[#This Row],[a* lab]]+128)</f>
        <v>4.7634822849195082</v>
      </c>
      <c r="S761">
        <v>5.3073380679556008</v>
      </c>
      <c r="T761">
        <v>4.0517261521920362</v>
      </c>
      <c r="U761">
        <f>LN(1+Table1[[#This Row],[Saturation]])</f>
        <v>4.5658332023934971</v>
      </c>
      <c r="V761">
        <v>4.3282834894074336</v>
      </c>
    </row>
    <row r="762" spans="1:22" x14ac:dyDescent="0.3">
      <c r="A762">
        <v>0</v>
      </c>
      <c r="B762">
        <v>190.854266663152</v>
      </c>
      <c r="C762">
        <v>179.985248437922</v>
      </c>
      <c r="D762">
        <v>9.8437364662120199</v>
      </c>
      <c r="E762">
        <v>72.038341313952799</v>
      </c>
      <c r="F762">
        <v>-11.7083904460242</v>
      </c>
      <c r="G762">
        <v>72.717778135250001</v>
      </c>
      <c r="H762">
        <v>56.397220135180703</v>
      </c>
      <c r="I762">
        <v>94.842275921666598</v>
      </c>
      <c r="J762">
        <v>74.844810456138205</v>
      </c>
      <c r="K762" t="s">
        <v>2</v>
      </c>
      <c r="L762">
        <v>0</v>
      </c>
      <c r="M762">
        <v>0</v>
      </c>
      <c r="N762">
        <f>LN(1+Table1[[#This Row],[Redness]])</f>
        <v>5.2567360560242529</v>
      </c>
      <c r="O762">
        <f>LN(1+Table1[[#This Row],[Greeness]])</f>
        <v>5.1984155276015196</v>
      </c>
      <c r="P762">
        <f>LN(1+Table1[[#This Row],[Blueness]])</f>
        <v>2.3835876290736873</v>
      </c>
      <c r="Q762">
        <f>LN(1+Table1[[#This Row],[L* lab]])</f>
        <v>4.2909845267456221</v>
      </c>
      <c r="R762">
        <f>LN(1+Table1[[#This Row],[a* lab]]+128)</f>
        <v>4.7646632232969237</v>
      </c>
      <c r="S762">
        <v>5.3068695825496581</v>
      </c>
      <c r="T762">
        <v>4.0499958724520804</v>
      </c>
      <c r="U762">
        <f>LN(1+Table1[[#This Row],[Saturation]])</f>
        <v>4.5627038811810348</v>
      </c>
      <c r="V762">
        <v>4.3286892849454928</v>
      </c>
    </row>
    <row r="763" spans="1:22" x14ac:dyDescent="0.3">
      <c r="A763">
        <v>0</v>
      </c>
      <c r="B763">
        <v>188.89493888541</v>
      </c>
      <c r="C763">
        <v>177.958721115598</v>
      </c>
      <c r="D763">
        <v>9.3866966384221602</v>
      </c>
      <c r="E763">
        <v>71.316981426493101</v>
      </c>
      <c r="F763">
        <v>-11.5333014083837</v>
      </c>
      <c r="G763">
        <v>72.152586091059604</v>
      </c>
      <c r="H763">
        <v>56.344607590297301</v>
      </c>
      <c r="I763">
        <v>95.030731530548593</v>
      </c>
      <c r="J763">
        <v>74.076446621729701</v>
      </c>
      <c r="K763" t="s">
        <v>2</v>
      </c>
      <c r="L763">
        <v>0</v>
      </c>
      <c r="M763">
        <v>0</v>
      </c>
      <c r="N763">
        <f>LN(1+Table1[[#This Row],[Redness]])</f>
        <v>5.246470965990782</v>
      </c>
      <c r="O763">
        <f>LN(1+Table1[[#This Row],[Greeness]])</f>
        <v>5.1871551709538251</v>
      </c>
      <c r="P763">
        <f>LN(1+Table1[[#This Row],[Blueness]])</f>
        <v>2.3405258179293273</v>
      </c>
      <c r="Q763">
        <f>LN(1+Table1[[#This Row],[L* lab]])</f>
        <v>4.2810589760880005</v>
      </c>
      <c r="R763">
        <f>LN(1+Table1[[#This Row],[a* lab]]+128)</f>
        <v>4.7661548771726769</v>
      </c>
      <c r="S763">
        <v>5.3040637548434022</v>
      </c>
      <c r="T763">
        <v>4.0490788128302562</v>
      </c>
      <c r="U763">
        <f>LN(1+Table1[[#This Row],[Saturation]])</f>
        <v>4.5646682603502073</v>
      </c>
      <c r="V763">
        <v>4.3185068827044573</v>
      </c>
    </row>
    <row r="764" spans="1:22" x14ac:dyDescent="0.3">
      <c r="A764">
        <v>0</v>
      </c>
      <c r="B764">
        <v>189.89386666317</v>
      </c>
      <c r="C764">
        <v>178.89382646099301</v>
      </c>
      <c r="D764">
        <v>9.9318011728466598</v>
      </c>
      <c r="E764">
        <v>71.658566834559096</v>
      </c>
      <c r="F764">
        <v>-11.5684469314161</v>
      </c>
      <c r="G764">
        <v>72.384737939197393</v>
      </c>
      <c r="H764">
        <v>56.332547026883802</v>
      </c>
      <c r="I764">
        <v>94.769814661542696</v>
      </c>
      <c r="J764">
        <v>74.468183005164803</v>
      </c>
      <c r="K764" t="s">
        <v>2</v>
      </c>
      <c r="L764">
        <v>0</v>
      </c>
      <c r="M764">
        <v>0</v>
      </c>
      <c r="N764">
        <f>LN(1+Table1[[#This Row],[Redness]])</f>
        <v>5.2517176016831968</v>
      </c>
      <c r="O764">
        <f>LN(1+Table1[[#This Row],[Greeness]])</f>
        <v>5.1923668238640106</v>
      </c>
      <c r="P764">
        <f>LN(1+Table1[[#This Row],[Blueness]])</f>
        <v>2.3916760802720547</v>
      </c>
      <c r="Q764">
        <f>LN(1+Table1[[#This Row],[L* lab]])</f>
        <v>4.2857713023287678</v>
      </c>
      <c r="R764">
        <f>LN(1+Table1[[#This Row],[a* lab]]+128)</f>
        <v>4.765855636773515</v>
      </c>
      <c r="S764">
        <v>5.3052171975679272</v>
      </c>
      <c r="T764">
        <v>4.0488684734039211</v>
      </c>
      <c r="U764">
        <f>LN(1+Table1[[#This Row],[Saturation]])</f>
        <v>4.5619475482861995</v>
      </c>
      <c r="V764">
        <v>4.3237111502836818</v>
      </c>
    </row>
    <row r="765" spans="1:22" x14ac:dyDescent="0.3">
      <c r="A765">
        <v>0</v>
      </c>
      <c r="B765">
        <v>189.47642221873301</v>
      </c>
      <c r="C765">
        <v>178.47638211036701</v>
      </c>
      <c r="D765">
        <v>9.78180451128123</v>
      </c>
      <c r="E765">
        <v>71.509457690143407</v>
      </c>
      <c r="F765">
        <v>-11.5394552445606</v>
      </c>
      <c r="G765">
        <v>72.274359147351902</v>
      </c>
      <c r="H765">
        <v>56.327088618889803</v>
      </c>
      <c r="I765">
        <v>94.837455554238204</v>
      </c>
      <c r="J765">
        <v>74.304479301463999</v>
      </c>
      <c r="K765" t="s">
        <v>2</v>
      </c>
      <c r="L765">
        <v>0</v>
      </c>
      <c r="M765">
        <v>0</v>
      </c>
      <c r="N765">
        <f>LN(1+Table1[[#This Row],[Redness]])</f>
        <v>5.2495284190262126</v>
      </c>
      <c r="O765">
        <f>LN(1+Table1[[#This Row],[Greeness]])</f>
        <v>5.190043623284641</v>
      </c>
      <c r="P765">
        <f>LN(1+Table1[[#This Row],[Blueness]])</f>
        <v>2.3778599458394383</v>
      </c>
      <c r="Q765">
        <f>LN(1+Table1[[#This Row],[L* lab]])</f>
        <v>4.2837170042511801</v>
      </c>
      <c r="R765">
        <f>LN(1+Table1[[#This Row],[a* lab]]+128)</f>
        <v>4.766102487878948</v>
      </c>
      <c r="S765">
        <v>5.3046689482155154</v>
      </c>
      <c r="T765">
        <v>4.0487732627752218</v>
      </c>
      <c r="U765">
        <f>LN(1+Table1[[#This Row],[Saturation]])</f>
        <v>4.5626535851232068</v>
      </c>
      <c r="V765">
        <v>4.3215396191118405</v>
      </c>
    </row>
    <row r="766" spans="1:22" x14ac:dyDescent="0.3">
      <c r="A766">
        <v>0</v>
      </c>
      <c r="B766">
        <v>189.789333329838</v>
      </c>
      <c r="C766">
        <v>178.789293151153</v>
      </c>
      <c r="D766">
        <v>10.7890932034441</v>
      </c>
      <c r="E766">
        <v>71.623218511649895</v>
      </c>
      <c r="F766">
        <v>-11.5507379423155</v>
      </c>
      <c r="G766">
        <v>72.254159284489106</v>
      </c>
      <c r="H766">
        <v>56.312840640576198</v>
      </c>
      <c r="I766">
        <v>94.315226775841197</v>
      </c>
      <c r="J766">
        <v>74.427189541113194</v>
      </c>
      <c r="K766" t="s">
        <v>2</v>
      </c>
      <c r="L766">
        <v>0</v>
      </c>
      <c r="M766">
        <v>0</v>
      </c>
      <c r="N766">
        <f>LN(1+Table1[[#This Row],[Redness]])</f>
        <v>5.25116985247156</v>
      </c>
      <c r="O766">
        <f>LN(1+Table1[[#This Row],[Greeness]])</f>
        <v>5.1917855716056573</v>
      </c>
      <c r="P766">
        <f>LN(1+Table1[[#This Row],[Blueness]])</f>
        <v>2.4671747992456652</v>
      </c>
      <c r="Q766">
        <f>LN(1+Table1[[#This Row],[L* lab]])</f>
        <v>4.285284684911141</v>
      </c>
      <c r="R766">
        <f>LN(1+Table1[[#This Row],[a* lab]]+128)</f>
        <v>4.7660064280514201</v>
      </c>
      <c r="S766">
        <v>5.304568583337228</v>
      </c>
      <c r="T766">
        <v>4.0485246935641452</v>
      </c>
      <c r="U766">
        <f>LN(1+Table1[[#This Row],[Saturation]])</f>
        <v>4.5571895751882181</v>
      </c>
      <c r="V766">
        <v>4.3231678140054601</v>
      </c>
    </row>
    <row r="767" spans="1:22" x14ac:dyDescent="0.3">
      <c r="A767">
        <v>0</v>
      </c>
      <c r="B767">
        <v>188.81346666319001</v>
      </c>
      <c r="C767">
        <v>177.81342670380801</v>
      </c>
      <c r="D767">
        <v>10.0557317478911</v>
      </c>
      <c r="E767">
        <v>71.271766987033303</v>
      </c>
      <c r="F767">
        <v>-11.486349940409299</v>
      </c>
      <c r="G767">
        <v>72.035572457906497</v>
      </c>
      <c r="H767">
        <v>56.307838662894099</v>
      </c>
      <c r="I767">
        <v>94.674250769502095</v>
      </c>
      <c r="J767">
        <v>74.044496730662701</v>
      </c>
      <c r="K767" t="s">
        <v>2</v>
      </c>
      <c r="L767">
        <v>0</v>
      </c>
      <c r="M767">
        <v>0</v>
      </c>
      <c r="N767">
        <f>LN(1+Table1[[#This Row],[Redness]])</f>
        <v>5.2460418355197165</v>
      </c>
      <c r="O767">
        <f>LN(1+Table1[[#This Row],[Greeness]])</f>
        <v>5.1863429533417893</v>
      </c>
      <c r="P767">
        <f>LN(1+Table1[[#This Row],[Blueness]])</f>
        <v>2.4029490036965102</v>
      </c>
      <c r="Q767">
        <f>LN(1+Table1[[#This Row],[L* lab]])</f>
        <v>4.2804335547958221</v>
      </c>
      <c r="R767">
        <f>LN(1+Table1[[#This Row],[a* lab]]+128)</f>
        <v>4.7665544975568386</v>
      </c>
      <c r="S767">
        <v>5.3034818698029422</v>
      </c>
      <c r="T767">
        <v>4.0484374147639208</v>
      </c>
      <c r="U767">
        <f>LN(1+Table1[[#This Row],[Saturation]])</f>
        <v>4.5609492002855676</v>
      </c>
      <c r="V767">
        <v>4.3180812273517013</v>
      </c>
    </row>
    <row r="768" spans="1:22" x14ac:dyDescent="0.3">
      <c r="A768">
        <v>0</v>
      </c>
      <c r="B768">
        <v>187.048177774333</v>
      </c>
      <c r="C768">
        <v>175.20440506795299</v>
      </c>
      <c r="D768">
        <v>8.7834489536293603</v>
      </c>
      <c r="E768">
        <v>70.406884873586094</v>
      </c>
      <c r="F768">
        <v>-10.9337433589995</v>
      </c>
      <c r="G768">
        <v>71.470722677627506</v>
      </c>
      <c r="H768">
        <v>56.013645733040498</v>
      </c>
      <c r="I768">
        <v>95.304178282759693</v>
      </c>
      <c r="J768">
        <v>73.352226578170004</v>
      </c>
      <c r="K768" t="s">
        <v>2</v>
      </c>
      <c r="L768">
        <v>0</v>
      </c>
      <c r="M768">
        <v>0</v>
      </c>
      <c r="N768">
        <f>LN(1+Table1[[#This Row],[Redness]])</f>
        <v>5.2366981947568352</v>
      </c>
      <c r="O768">
        <f>LN(1+Table1[[#This Row],[Greeness]])</f>
        <v>5.1716447135752333</v>
      </c>
      <c r="P768">
        <f>LN(1+Table1[[#This Row],[Blueness]])</f>
        <v>2.2806920756243425</v>
      </c>
      <c r="Q768">
        <f>LN(1+Table1[[#This Row],[L* lab]])</f>
        <v>4.2683942914976996</v>
      </c>
      <c r="R768">
        <f>LN(1+Table1[[#This Row],[a* lab]]+128)</f>
        <v>4.7712459638428637</v>
      </c>
      <c r="S768">
        <v>5.3006682145264712</v>
      </c>
      <c r="T768">
        <v>4.0432906380084956</v>
      </c>
      <c r="U768">
        <f>LN(1+Table1[[#This Row],[Saturation]])</f>
        <v>4.5675117060534909</v>
      </c>
      <c r="V768">
        <v>4.3088136197095359</v>
      </c>
    </row>
    <row r="769" spans="1:23" x14ac:dyDescent="0.3">
      <c r="A769">
        <v>0</v>
      </c>
      <c r="B769">
        <v>187.92586666320599</v>
      </c>
      <c r="C769">
        <v>175.96227156429299</v>
      </c>
      <c r="D769">
        <v>9.0501096853012406</v>
      </c>
      <c r="E769">
        <v>70.689234487438895</v>
      </c>
      <c r="F769">
        <v>-10.9331583524226</v>
      </c>
      <c r="G769">
        <v>71.684017749140096</v>
      </c>
      <c r="H769">
        <v>55.9870710371139</v>
      </c>
      <c r="I769">
        <v>95.184212878198096</v>
      </c>
      <c r="J769">
        <v>73.696418299296596</v>
      </c>
      <c r="K769" t="s">
        <v>2</v>
      </c>
      <c r="L769">
        <v>0</v>
      </c>
      <c r="M769">
        <v>0</v>
      </c>
      <c r="N769">
        <f>LN(1+Table1[[#This Row],[Redness]])</f>
        <v>5.2413546982362433</v>
      </c>
      <c r="O769">
        <f>LN(1+Table1[[#This Row],[Greeness]])</f>
        <v>5.1759365548490779</v>
      </c>
      <c r="P769">
        <f>LN(1+Table1[[#This Row],[Blueness]])</f>
        <v>2.3075835484058502</v>
      </c>
      <c r="Q769">
        <f>LN(1+Table1[[#This Row],[L* lab]])</f>
        <v>4.2723405897137381</v>
      </c>
      <c r="R769">
        <f>LN(1+Table1[[#This Row],[a* lab]]+128)</f>
        <v>4.7712509187312815</v>
      </c>
      <c r="S769">
        <v>5.3017316200910454</v>
      </c>
      <c r="T769">
        <v>4.0428244181958339</v>
      </c>
      <c r="U769">
        <f>LN(1+Table1[[#This Row],[Saturation]])</f>
        <v>4.5662652369093468</v>
      </c>
      <c r="V769">
        <v>4.313432143188658</v>
      </c>
    </row>
    <row r="770" spans="1:23" x14ac:dyDescent="0.3">
      <c r="A770">
        <v>1</v>
      </c>
      <c r="B770">
        <v>190.397511107605</v>
      </c>
      <c r="C770">
        <v>152.94987673623601</v>
      </c>
      <c r="D770">
        <v>12.4575449580597</v>
      </c>
      <c r="E770">
        <v>64.796962498148602</v>
      </c>
      <c r="F770">
        <v>2.4031059276930602</v>
      </c>
      <c r="G770">
        <v>66.914877929160298</v>
      </c>
      <c r="H770">
        <v>47.372943184704198</v>
      </c>
      <c r="I770">
        <v>93.457086237319899</v>
      </c>
      <c r="J770">
        <v>74.665690630433403</v>
      </c>
      <c r="K770" t="s">
        <v>2</v>
      </c>
      <c r="L770">
        <v>1.61E-2</v>
      </c>
      <c r="M770">
        <v>0</v>
      </c>
      <c r="N770">
        <f>LN(1+Table1[[#This Row],[Redness]])</f>
        <v>5.254352475316777</v>
      </c>
      <c r="O770">
        <f>LN(1+Table1[[#This Row],[Greeness]])</f>
        <v>5.0366270736961782</v>
      </c>
      <c r="P770">
        <f>LN(1+Table1[[#This Row],[Blueness]])</f>
        <v>2.599539912191196</v>
      </c>
      <c r="Q770">
        <f>LN(1+Table1[[#This Row],[L* lab]])</f>
        <v>4.1865736746236255</v>
      </c>
      <c r="R770">
        <f>LN(1+Table1[[#This Row],[a* lab]]+128)</f>
        <v>4.8782697429682109</v>
      </c>
      <c r="S770">
        <v>5.2776802686167796</v>
      </c>
      <c r="T770">
        <v>3.8789406323003743</v>
      </c>
      <c r="U770">
        <f>LN(1+Table1[[#This Row],[Saturation]])</f>
        <v>4.5481456174679629</v>
      </c>
      <c r="V770">
        <v>4.3263248295728305</v>
      </c>
      <c r="W770" t="s">
        <v>26</v>
      </c>
    </row>
    <row r="771" spans="1:23" x14ac:dyDescent="0.3">
      <c r="A771">
        <v>1</v>
      </c>
      <c r="B771">
        <v>186.004266663241</v>
      </c>
      <c r="C771">
        <v>147.060589170941</v>
      </c>
      <c r="D771">
        <v>5.1264636794812501</v>
      </c>
      <c r="E771">
        <v>62.793408804056099</v>
      </c>
      <c r="F771">
        <v>3.5231050833763802</v>
      </c>
      <c r="G771">
        <v>66.305254411298307</v>
      </c>
      <c r="H771">
        <v>47.081772273915803</v>
      </c>
      <c r="I771">
        <v>97.2438999537775</v>
      </c>
      <c r="J771">
        <v>72.942849671859506</v>
      </c>
      <c r="K771" t="s">
        <v>2</v>
      </c>
      <c r="L771">
        <v>1.61E-2</v>
      </c>
      <c r="M771">
        <v>0</v>
      </c>
      <c r="N771">
        <f>LN(1+Table1[[#This Row],[Redness]])</f>
        <v>5.2311314329752649</v>
      </c>
      <c r="O771">
        <f>LN(1+Table1[[#This Row],[Greeness]])</f>
        <v>4.9976215762785534</v>
      </c>
      <c r="P771">
        <f>LN(1+Table1[[#This Row],[Blueness]])</f>
        <v>1.8126176959610389</v>
      </c>
      <c r="Q771">
        <f>LN(1+Table1[[#This Row],[L* lab]])</f>
        <v>4.1556498747326174</v>
      </c>
      <c r="R771">
        <f>LN(1+Table1[[#This Row],[a* lab]]+128)</f>
        <v>4.8867570082119487</v>
      </c>
      <c r="S771">
        <v>5.2745637418284419</v>
      </c>
      <c r="T771">
        <v>3.872903150485953</v>
      </c>
      <c r="U771">
        <f>LN(1+Table1[[#This Row],[Saturation]])</f>
        <v>4.5874531618374412</v>
      </c>
      <c r="V771">
        <v>4.3032924930939238</v>
      </c>
    </row>
    <row r="772" spans="1:23" x14ac:dyDescent="0.3">
      <c r="A772">
        <v>1</v>
      </c>
      <c r="B772">
        <v>184.521955552158</v>
      </c>
      <c r="C772">
        <v>145.79641167728201</v>
      </c>
      <c r="D772">
        <v>5.2244170549153903</v>
      </c>
      <c r="E772">
        <v>62.307827128471899</v>
      </c>
      <c r="F772">
        <v>3.5433766713864401</v>
      </c>
      <c r="G772">
        <v>65.871632694826999</v>
      </c>
      <c r="H772">
        <v>47.040911704829398</v>
      </c>
      <c r="I772">
        <v>97.168674568138997</v>
      </c>
      <c r="J772">
        <v>72.361551196924694</v>
      </c>
      <c r="K772" t="s">
        <v>2</v>
      </c>
      <c r="L772">
        <v>1.61E-2</v>
      </c>
      <c r="M772">
        <v>0</v>
      </c>
      <c r="N772">
        <f>LN(1+Table1[[#This Row],[Redness]])</f>
        <v>5.223173233815384</v>
      </c>
      <c r="O772">
        <f>LN(1+Table1[[#This Row],[Greeness]])</f>
        <v>4.9890466722664204</v>
      </c>
      <c r="P772">
        <f>LN(1+Table1[[#This Row],[Blueness]])</f>
        <v>1.8284797921690055</v>
      </c>
      <c r="Q772">
        <f>LN(1+Table1[[#This Row],[L* lab]])</f>
        <v>4.1480089728246075</v>
      </c>
      <c r="R772">
        <f>LN(1+Table1[[#This Row],[a* lab]]+128)</f>
        <v>4.8869099629568522</v>
      </c>
      <c r="S772">
        <v>5.2723410479205155</v>
      </c>
      <c r="T772">
        <v>3.8720529750672847</v>
      </c>
      <c r="U772">
        <f>LN(1+Table1[[#This Row],[Saturation]])</f>
        <v>4.5866871682191626</v>
      </c>
      <c r="V772">
        <v>4.2953999727209045</v>
      </c>
    </row>
    <row r="773" spans="1:23" x14ac:dyDescent="0.3">
      <c r="A773">
        <v>1</v>
      </c>
      <c r="B773">
        <v>190.255999996496</v>
      </c>
      <c r="C773">
        <v>151.450277073265</v>
      </c>
      <c r="D773">
        <v>12.7070060725387</v>
      </c>
      <c r="E773">
        <v>64.394299646319993</v>
      </c>
      <c r="F773">
        <v>3.15502441843222</v>
      </c>
      <c r="G773">
        <v>66.562208272595797</v>
      </c>
      <c r="H773">
        <v>46.886192233840198</v>
      </c>
      <c r="I773">
        <v>93.321101004555501</v>
      </c>
      <c r="J773">
        <v>74.610196077057594</v>
      </c>
      <c r="K773" t="s">
        <v>2</v>
      </c>
      <c r="L773">
        <v>1.61E-2</v>
      </c>
      <c r="M773">
        <v>0</v>
      </c>
      <c r="N773">
        <f>LN(1+Table1[[#This Row],[Redness]])</f>
        <v>5.2536128447452359</v>
      </c>
      <c r="O773">
        <f>LN(1+Table1[[#This Row],[Greeness]])</f>
        <v>5.0268384909023727</v>
      </c>
      <c r="P773">
        <f>LN(1+Table1[[#This Row],[Blueness]])</f>
        <v>2.6179070942737832</v>
      </c>
      <c r="Q773">
        <f>LN(1+Table1[[#This Row],[L* lab]])</f>
        <v>4.1804350932931262</v>
      </c>
      <c r="R773">
        <f>LN(1+Table1[[#This Row],[a* lab]]+128)</f>
        <v>4.8839756608983418</v>
      </c>
      <c r="S773">
        <v>5.2758785296930997</v>
      </c>
      <c r="T773">
        <v>3.8688272005197537</v>
      </c>
      <c r="U773">
        <f>LN(1+Table1[[#This Row],[Saturation]])</f>
        <v>4.5467049292372739</v>
      </c>
      <c r="V773">
        <v>4.3255911428356644</v>
      </c>
      <c r="W773" t="s">
        <v>26</v>
      </c>
    </row>
    <row r="774" spans="1:23" x14ac:dyDescent="0.3">
      <c r="A774">
        <v>1</v>
      </c>
      <c r="B774">
        <v>185.735466663246</v>
      </c>
      <c r="C774">
        <v>145.98023385819101</v>
      </c>
      <c r="D774">
        <v>4.2674605758555897</v>
      </c>
      <c r="E774">
        <v>62.4824762308535</v>
      </c>
      <c r="F774">
        <v>3.9805020002216098</v>
      </c>
      <c r="G774">
        <v>66.194382135254699</v>
      </c>
      <c r="H774">
        <v>46.855457225035103</v>
      </c>
      <c r="I774">
        <v>97.702398657337298</v>
      </c>
      <c r="J774">
        <v>72.837437907155604</v>
      </c>
      <c r="K774" t="s">
        <v>2</v>
      </c>
      <c r="L774">
        <v>1.61E-2</v>
      </c>
      <c r="M774">
        <v>0</v>
      </c>
      <c r="N774">
        <f>LN(1+Table1[[#This Row],[Redness]])</f>
        <v>5.2296929985655742</v>
      </c>
      <c r="O774">
        <f>LN(1+Table1[[#This Row],[Greeness]])</f>
        <v>4.9902981141879819</v>
      </c>
      <c r="P774">
        <f>LN(1+Table1[[#This Row],[Blueness]])</f>
        <v>1.6615483822554014</v>
      </c>
      <c r="Q774">
        <f>LN(1+Table1[[#This Row],[L* lab]])</f>
        <v>4.1507639029448855</v>
      </c>
      <c r="R774">
        <f>LN(1+Table1[[#This Row],[a* lab]]+128)</f>
        <v>4.8902025159726099</v>
      </c>
      <c r="S774">
        <v>5.2739958935200368</v>
      </c>
      <c r="T774">
        <v>3.8681851599859924</v>
      </c>
      <c r="U774">
        <f>LN(1+Table1[[#This Row],[Saturation]])</f>
        <v>4.5921092486500852</v>
      </c>
      <c r="V774">
        <v>4.3018658916938515</v>
      </c>
    </row>
    <row r="775" spans="1:23" x14ac:dyDescent="0.3">
      <c r="A775">
        <v>1</v>
      </c>
      <c r="B775">
        <v>187.39591110766</v>
      </c>
      <c r="C775">
        <v>146.971878079768</v>
      </c>
      <c r="D775">
        <v>5.0087774099034004</v>
      </c>
      <c r="E775">
        <v>62.916476961567298</v>
      </c>
      <c r="F775">
        <v>4.1991155155345998</v>
      </c>
      <c r="G775">
        <v>66.478901030365506</v>
      </c>
      <c r="H775">
        <v>46.701682665330502</v>
      </c>
      <c r="I775">
        <v>97.327168250204807</v>
      </c>
      <c r="J775">
        <v>73.488592591239396</v>
      </c>
      <c r="K775" t="s">
        <v>2</v>
      </c>
      <c r="L775">
        <v>1.61E-2</v>
      </c>
      <c r="M775">
        <v>0</v>
      </c>
      <c r="N775">
        <f>LN(1+Table1[[#This Row],[Redness]])</f>
        <v>5.2385456586565313</v>
      </c>
      <c r="O775">
        <f>LN(1+Table1[[#This Row],[Greeness]])</f>
        <v>4.9970222427348219</v>
      </c>
      <c r="P775">
        <f>LN(1+Table1[[#This Row],[Blueness]])</f>
        <v>1.7932213018804346</v>
      </c>
      <c r="Q775">
        <f>LN(1+Table1[[#This Row],[L* lab]])</f>
        <v>4.1575771835680815</v>
      </c>
      <c r="R775">
        <f>LN(1+Table1[[#This Row],[a* lab]]+128)</f>
        <v>4.8918451178104778</v>
      </c>
      <c r="S775">
        <v>5.275452450482967</v>
      </c>
      <c r="T775">
        <v>3.8649666732748478</v>
      </c>
      <c r="U775">
        <f>LN(1+Table1[[#This Row],[Saturation]])</f>
        <v>4.5883003699456193</v>
      </c>
      <c r="V775">
        <v>4.3106459940808346</v>
      </c>
    </row>
    <row r="776" spans="1:23" x14ac:dyDescent="0.3">
      <c r="A776">
        <v>1</v>
      </c>
      <c r="B776">
        <v>182.92248888552001</v>
      </c>
      <c r="C776">
        <v>143.01276785845101</v>
      </c>
      <c r="D776">
        <v>3.75479420835258</v>
      </c>
      <c r="E776">
        <v>61.408949259973802</v>
      </c>
      <c r="F776">
        <v>4.3227306653959596</v>
      </c>
      <c r="G776">
        <v>65.375471036455806</v>
      </c>
      <c r="H776">
        <v>46.634960806194201</v>
      </c>
      <c r="I776">
        <v>97.947330461536296</v>
      </c>
      <c r="J776">
        <v>71.734309366870903</v>
      </c>
      <c r="K776" t="s">
        <v>2</v>
      </c>
      <c r="L776">
        <v>1.61E-2</v>
      </c>
      <c r="M776">
        <v>0</v>
      </c>
      <c r="N776">
        <f>LN(1+Table1[[#This Row],[Redness]])</f>
        <v>5.2145144127987706</v>
      </c>
      <c r="O776">
        <f>LN(1+Table1[[#This Row],[Greeness]])</f>
        <v>4.9699019613291187</v>
      </c>
      <c r="P776">
        <f>LN(1+Table1[[#This Row],[Blueness]])</f>
        <v>1.5591534160602818</v>
      </c>
      <c r="Q776">
        <f>LN(1+Table1[[#This Row],[L* lab]])</f>
        <v>4.1337086827198428</v>
      </c>
      <c r="R776">
        <f>LN(1+Table1[[#This Row],[a* lab]]+128)</f>
        <v>4.8927727352684585</v>
      </c>
      <c r="S776">
        <v>5.2697917062692419</v>
      </c>
      <c r="T776">
        <v>3.8635669623641187</v>
      </c>
      <c r="U776">
        <f>LN(1+Table1[[#This Row],[Saturation]])</f>
        <v>4.5945876930240708</v>
      </c>
      <c r="V776">
        <v>4.2868132039836855</v>
      </c>
    </row>
    <row r="777" spans="1:23" x14ac:dyDescent="0.3">
      <c r="A777">
        <v>1</v>
      </c>
      <c r="B777">
        <v>187.67004444098799</v>
      </c>
      <c r="C777">
        <v>146.66218926048001</v>
      </c>
      <c r="D777">
        <v>4.4854112805420696</v>
      </c>
      <c r="E777">
        <v>62.863602436530797</v>
      </c>
      <c r="F777">
        <v>4.4853383707210996</v>
      </c>
      <c r="G777">
        <v>66.530584065435093</v>
      </c>
      <c r="H777">
        <v>46.568353096105803</v>
      </c>
      <c r="I777">
        <v>97.609948197165494</v>
      </c>
      <c r="J777">
        <v>73.596095859211303</v>
      </c>
      <c r="K777" t="s">
        <v>2</v>
      </c>
      <c r="L777">
        <v>1.61E-2</v>
      </c>
      <c r="M777">
        <v>0</v>
      </c>
      <c r="N777">
        <f>LN(1+Table1[[#This Row],[Redness]])</f>
        <v>5.2399996927722725</v>
      </c>
      <c r="O777">
        <f>LN(1+Table1[[#This Row],[Greeness]])</f>
        <v>4.9949271598822103</v>
      </c>
      <c r="P777">
        <f>LN(1+Table1[[#This Row],[Blueness]])</f>
        <v>1.7020920736949896</v>
      </c>
      <c r="Q777">
        <f>LN(1+Table1[[#This Row],[L* lab]])</f>
        <v>4.1567495971664554</v>
      </c>
      <c r="R777">
        <f>LN(1+Table1[[#This Row],[a* lab]]+128)</f>
        <v>4.8939916468706857</v>
      </c>
      <c r="S777">
        <v>5.2757168074223282</v>
      </c>
      <c r="T777">
        <v>3.8621676892038437</v>
      </c>
      <c r="U777">
        <f>LN(1+Table1[[#This Row],[Saturation]])</f>
        <v>4.5911721510136614</v>
      </c>
      <c r="V777">
        <v>4.3120881715133006</v>
      </c>
    </row>
    <row r="778" spans="1:23" x14ac:dyDescent="0.3">
      <c r="A778">
        <v>1</v>
      </c>
      <c r="B778">
        <v>186.389688885456</v>
      </c>
      <c r="C778">
        <v>147.59730016142899</v>
      </c>
      <c r="D778">
        <v>13.270299091036</v>
      </c>
      <c r="E778">
        <v>62.984686260671999</v>
      </c>
      <c r="F778">
        <v>3.5170172351345199</v>
      </c>
      <c r="G778">
        <v>65.241895023540295</v>
      </c>
      <c r="H778">
        <v>46.555270751556897</v>
      </c>
      <c r="I778">
        <v>92.880346992160497</v>
      </c>
      <c r="J778">
        <v>73.093995641355605</v>
      </c>
      <c r="K778" t="s">
        <v>2</v>
      </c>
      <c r="L778">
        <v>1.61E-2</v>
      </c>
      <c r="M778">
        <v>0</v>
      </c>
      <c r="N778">
        <f>LN(1+Table1[[#This Row],[Redness]])</f>
        <v>5.2331903463346139</v>
      </c>
      <c r="O778">
        <f>LN(1+Table1[[#This Row],[Greeness]])</f>
        <v>5.0012399636221696</v>
      </c>
      <c r="P778">
        <f>LN(1+Table1[[#This Row],[Blueness]])</f>
        <v>2.6581803906969901</v>
      </c>
      <c r="Q778">
        <f>LN(1+Table1[[#This Row],[L* lab]])</f>
        <v>4.1586437775513208</v>
      </c>
      <c r="R778">
        <f>LN(1+Table1[[#This Row],[a* lab]]+128)</f>
        <v>4.8867110691428781</v>
      </c>
      <c r="S778">
        <v>5.269104263916728</v>
      </c>
      <c r="T778">
        <v>3.8618926293585134</v>
      </c>
      <c r="U778">
        <f>LN(1+Table1[[#This Row],[Saturation]])</f>
        <v>4.5420210671004115</v>
      </c>
      <c r="V778">
        <v>4.3053344985378637</v>
      </c>
      <c r="W778" t="s">
        <v>26</v>
      </c>
    </row>
    <row r="779" spans="1:23" x14ac:dyDescent="0.3">
      <c r="A779">
        <v>1</v>
      </c>
      <c r="B779">
        <v>187.45333332988099</v>
      </c>
      <c r="C779">
        <v>146.43196708999901</v>
      </c>
      <c r="D779">
        <v>5.5895644834847502</v>
      </c>
      <c r="E779">
        <v>62.783115187883901</v>
      </c>
      <c r="F779">
        <v>4.5266725641335803</v>
      </c>
      <c r="G779">
        <v>66.301803398959393</v>
      </c>
      <c r="H779">
        <v>46.466342416604498</v>
      </c>
      <c r="I779">
        <v>97.018156794444295</v>
      </c>
      <c r="J779">
        <v>73.511111109757493</v>
      </c>
      <c r="K779" t="s">
        <v>2</v>
      </c>
      <c r="L779">
        <v>1.61E-2</v>
      </c>
      <c r="M779">
        <v>0</v>
      </c>
      <c r="N779">
        <f>LN(1+Table1[[#This Row],[Redness]])</f>
        <v>5.2388504076961695</v>
      </c>
      <c r="O779">
        <f>LN(1+Table1[[#This Row],[Greeness]])</f>
        <v>4.993366829308151</v>
      </c>
      <c r="P779">
        <f>LN(1+Table1[[#This Row],[Blueness]])</f>
        <v>1.885487258847196</v>
      </c>
      <c r="Q779">
        <f>LN(1+Table1[[#This Row],[L* lab]])</f>
        <v>4.1554885030966382</v>
      </c>
      <c r="R779">
        <f>LN(1+Table1[[#This Row],[a* lab]]+128)</f>
        <v>4.8943012523719354</v>
      </c>
      <c r="S779">
        <v>5.2745460718336483</v>
      </c>
      <c r="T779">
        <v>3.8600208791755732</v>
      </c>
      <c r="U779">
        <f>LN(1+Table1[[#This Row],[Saturation]])</f>
        <v>4.5851527349222696</v>
      </c>
      <c r="V779">
        <v>4.310948256677742</v>
      </c>
    </row>
    <row r="780" spans="1:23" x14ac:dyDescent="0.3">
      <c r="A780">
        <v>1</v>
      </c>
      <c r="B780">
        <v>186.01031110768599</v>
      </c>
      <c r="C780">
        <v>144.690278592548</v>
      </c>
      <c r="D780">
        <v>4.8502031614691896</v>
      </c>
      <c r="E780">
        <v>62.176754391319697</v>
      </c>
      <c r="F780">
        <v>4.8163523829989501</v>
      </c>
      <c r="G780">
        <v>65.905267308488703</v>
      </c>
      <c r="H780">
        <v>46.3148571779153</v>
      </c>
      <c r="I780">
        <v>97.392508440749097</v>
      </c>
      <c r="J780">
        <v>72.945220042229806</v>
      </c>
      <c r="K780" t="s">
        <v>2</v>
      </c>
      <c r="L780">
        <v>1.61E-2</v>
      </c>
      <c r="M780">
        <v>0</v>
      </c>
      <c r="N780">
        <f>LN(1+Table1[[#This Row],[Redness]])</f>
        <v>5.2311637549477483</v>
      </c>
      <c r="O780">
        <f>LN(1+Table1[[#This Row],[Greeness]])</f>
        <v>4.9814829888924237</v>
      </c>
      <c r="P780">
        <f>LN(1+Table1[[#This Row],[Blueness]])</f>
        <v>1.7664763890970179</v>
      </c>
      <c r="Q780">
        <f>LN(1+Table1[[#This Row],[L* lab]])</f>
        <v>4.145936423230097</v>
      </c>
      <c r="R780">
        <f>LN(1+Table1[[#This Row],[a* lab]]+128)</f>
        <v>4.8964683553460429</v>
      </c>
      <c r="S780">
        <v>5.2725136318460635</v>
      </c>
      <c r="T780">
        <v>3.8568243514185019</v>
      </c>
      <c r="U780">
        <f>LN(1+Table1[[#This Row],[Saturation]])</f>
        <v>4.5889646674276632</v>
      </c>
      <c r="V780">
        <v>4.3033245493696608</v>
      </c>
    </row>
    <row r="781" spans="1:23" x14ac:dyDescent="0.3">
      <c r="A781">
        <v>1</v>
      </c>
      <c r="B781">
        <v>184.05304444105499</v>
      </c>
      <c r="C781">
        <v>144.76434524256899</v>
      </c>
      <c r="D781">
        <v>12.176728985881599</v>
      </c>
      <c r="E781">
        <v>61.990530031165399</v>
      </c>
      <c r="F781">
        <v>4.0057954046421598</v>
      </c>
      <c r="G781">
        <v>64.570180388337306</v>
      </c>
      <c r="H781">
        <v>46.284777250045302</v>
      </c>
      <c r="I781">
        <v>93.384119766744007</v>
      </c>
      <c r="J781">
        <v>72.1776644866884</v>
      </c>
      <c r="K781" t="s">
        <v>2</v>
      </c>
      <c r="L781">
        <v>1.61E-2</v>
      </c>
      <c r="M781">
        <v>0</v>
      </c>
      <c r="N781">
        <f>LN(1+Table1[[#This Row],[Redness]])</f>
        <v>5.2206425106884833</v>
      </c>
      <c r="O781">
        <f>LN(1+Table1[[#This Row],[Greeness]])</f>
        <v>4.9819912440069993</v>
      </c>
      <c r="P781">
        <f>LN(1+Table1[[#This Row],[Blueness]])</f>
        <v>2.578452318142197</v>
      </c>
      <c r="Q781">
        <f>LN(1+Table1[[#This Row],[L* lab]])</f>
        <v>4.1429843981271768</v>
      </c>
      <c r="R781">
        <f>LN(1+Table1[[#This Row],[a* lab]]+128)</f>
        <v>4.8903927017434077</v>
      </c>
      <c r="S781">
        <v>5.2656401360593668</v>
      </c>
      <c r="T781">
        <v>3.8561884096611023</v>
      </c>
      <c r="U781">
        <f>LN(1+Table1[[#This Row],[Saturation]])</f>
        <v>4.5473728361904957</v>
      </c>
      <c r="V781">
        <v>4.2928902444423738</v>
      </c>
      <c r="W781" t="s">
        <v>26</v>
      </c>
    </row>
    <row r="782" spans="1:23" x14ac:dyDescent="0.3">
      <c r="A782">
        <v>1</v>
      </c>
      <c r="B782">
        <v>184.61635555215599</v>
      </c>
      <c r="C782">
        <v>142.74005680862999</v>
      </c>
      <c r="D782">
        <v>3.8475588103829401</v>
      </c>
      <c r="E782">
        <v>61.519601375419697</v>
      </c>
      <c r="F782">
        <v>5.2403502214775601</v>
      </c>
      <c r="G782">
        <v>65.518424032498601</v>
      </c>
      <c r="H782">
        <v>46.100599384966202</v>
      </c>
      <c r="I782">
        <v>97.915916605072397</v>
      </c>
      <c r="J782">
        <v>72.398570804767104</v>
      </c>
      <c r="K782" t="s">
        <v>2</v>
      </c>
      <c r="L782">
        <v>1.61E-2</v>
      </c>
      <c r="M782">
        <v>0</v>
      </c>
      <c r="N782">
        <f>LN(1+Table1[[#This Row],[Redness]])</f>
        <v>5.2236819390565801</v>
      </c>
      <c r="O782">
        <f>LN(1+Table1[[#This Row],[Greeness]])</f>
        <v>4.9680065072581812</v>
      </c>
      <c r="P782">
        <f>LN(1+Table1[[#This Row],[Blueness]])</f>
        <v>1.578475240166892</v>
      </c>
      <c r="Q782">
        <f>LN(1+Table1[[#This Row],[L* lab]])</f>
        <v>4.1354801295799692</v>
      </c>
      <c r="R782">
        <f>LN(1+Table1[[#This Row],[a* lab]]+128)</f>
        <v>4.8996318516359159</v>
      </c>
      <c r="S782">
        <v>5.2705268836751822</v>
      </c>
      <c r="T782">
        <v>3.8522857267368606</v>
      </c>
      <c r="U782">
        <f>LN(1+Table1[[#This Row],[Saturation]])</f>
        <v>4.5942701620303819</v>
      </c>
      <c r="V782">
        <v>4.2959044641062025</v>
      </c>
    </row>
    <row r="783" spans="1:23" x14ac:dyDescent="0.3">
      <c r="A783">
        <v>1</v>
      </c>
      <c r="B783">
        <v>185.706133329914</v>
      </c>
      <c r="C783">
        <v>143.67036771065801</v>
      </c>
      <c r="D783">
        <v>4.4196349667296699</v>
      </c>
      <c r="E783">
        <v>61.878740945148003</v>
      </c>
      <c r="F783">
        <v>5.2314551391298298</v>
      </c>
      <c r="G783">
        <v>65.741565771487004</v>
      </c>
      <c r="H783">
        <v>46.087513632137401</v>
      </c>
      <c r="I783">
        <v>97.620092084477307</v>
      </c>
      <c r="J783">
        <v>72.825934639181895</v>
      </c>
      <c r="K783" t="s">
        <v>2</v>
      </c>
      <c r="L783">
        <v>1.61E-2</v>
      </c>
      <c r="M783">
        <v>0</v>
      </c>
      <c r="N783">
        <f>LN(1+Table1[[#This Row],[Redness]])</f>
        <v>5.2295359012663294</v>
      </c>
      <c r="O783">
        <f>LN(1+Table1[[#This Row],[Greeness]])</f>
        <v>4.974457828358446</v>
      </c>
      <c r="P783">
        <f>LN(1+Table1[[#This Row],[Blueness]])</f>
        <v>1.690028463871619</v>
      </c>
      <c r="Q783">
        <f>LN(1+Table1[[#This Row],[L* lab]])</f>
        <v>4.1412081247835264</v>
      </c>
      <c r="R783">
        <f>LN(1+Table1[[#This Row],[a* lab]]+128)</f>
        <v>4.8995655870809536</v>
      </c>
      <c r="S783">
        <v>5.2716733758360803</v>
      </c>
      <c r="T783">
        <v>3.8520078625246192</v>
      </c>
      <c r="U783">
        <f>LN(1+Table1[[#This Row],[Saturation]])</f>
        <v>4.5912750145257943</v>
      </c>
      <c r="V783">
        <v>4.3017100877487211</v>
      </c>
    </row>
    <row r="784" spans="1:23" x14ac:dyDescent="0.3">
      <c r="A784">
        <v>1</v>
      </c>
      <c r="B784">
        <v>183.34097777440201</v>
      </c>
      <c r="C784">
        <v>140.660946164791</v>
      </c>
      <c r="D784">
        <v>2.9240238096926698</v>
      </c>
      <c r="E784">
        <v>60.841184564273298</v>
      </c>
      <c r="F784">
        <v>5.7906881071560496</v>
      </c>
      <c r="G784">
        <v>65.116879541920397</v>
      </c>
      <c r="H784">
        <v>45.806201466645199</v>
      </c>
      <c r="I784">
        <v>98.405144422601097</v>
      </c>
      <c r="J784">
        <v>71.898422656628199</v>
      </c>
      <c r="K784" t="s">
        <v>2</v>
      </c>
      <c r="L784">
        <v>1.61E-2</v>
      </c>
      <c r="M784">
        <v>0</v>
      </c>
      <c r="N784">
        <f>LN(1+Table1[[#This Row],[Redness]])</f>
        <v>5.2167871827415455</v>
      </c>
      <c r="O784">
        <f>LN(1+Table1[[#This Row],[Greeness]])</f>
        <v>4.9534364994277729</v>
      </c>
      <c r="P784">
        <f>LN(1+Table1[[#This Row],[Blueness]])</f>
        <v>1.3671176093943589</v>
      </c>
      <c r="Q784">
        <f>LN(1+Table1[[#This Row],[L* lab]])</f>
        <v>4.1245695594041356</v>
      </c>
      <c r="R784">
        <f>LN(1+Table1[[#This Row],[a* lab]]+128)</f>
        <v>4.9037231167683526</v>
      </c>
      <c r="S784">
        <v>5.2684604495155831</v>
      </c>
      <c r="T784">
        <v>3.8460157041159815</v>
      </c>
      <c r="U784">
        <f>LN(1+Table1[[#This Row],[Saturation]])</f>
        <v>4.5992038670778355</v>
      </c>
      <c r="V784">
        <v>4.2890670016972381</v>
      </c>
    </row>
    <row r="785" spans="1:23" x14ac:dyDescent="0.3">
      <c r="A785">
        <v>1</v>
      </c>
      <c r="B785">
        <v>185.05404444103701</v>
      </c>
      <c r="C785">
        <v>142.05401251837199</v>
      </c>
      <c r="D785">
        <v>3.2961044172855001</v>
      </c>
      <c r="E785">
        <v>61.387948394979198</v>
      </c>
      <c r="F785">
        <v>5.8070920141139402</v>
      </c>
      <c r="G785">
        <v>65.5302359283166</v>
      </c>
      <c r="H785">
        <v>45.805286332895498</v>
      </c>
      <c r="I785">
        <v>98.2188422699749</v>
      </c>
      <c r="J785">
        <v>72.570213506288994</v>
      </c>
      <c r="K785" t="s">
        <v>2</v>
      </c>
      <c r="L785">
        <v>1.61E-2</v>
      </c>
      <c r="M785">
        <v>0</v>
      </c>
      <c r="N785">
        <f>LN(1+Table1[[#This Row],[Redness]])</f>
        <v>5.2260371930193319</v>
      </c>
      <c r="O785">
        <f>LN(1+Table1[[#This Row],[Greeness]])</f>
        <v>4.9632222688641585</v>
      </c>
      <c r="P785">
        <f>LN(1+Table1[[#This Row],[Blueness]])</f>
        <v>1.4577086626107891</v>
      </c>
      <c r="Q785">
        <f>LN(1+Table1[[#This Row],[L* lab]])</f>
        <v>4.1333721220266284</v>
      </c>
      <c r="R785">
        <f>LN(1+Table1[[#This Row],[a* lab]]+128)</f>
        <v>4.9038448084749442</v>
      </c>
      <c r="S785">
        <v>5.2705876056209808</v>
      </c>
      <c r="T785">
        <v>3.8459961523756721</v>
      </c>
      <c r="U785">
        <f>LN(1+Table1[[#This Row],[Saturation]])</f>
        <v>4.597327938491734</v>
      </c>
      <c r="V785">
        <v>4.2982402360235419</v>
      </c>
    </row>
    <row r="786" spans="1:23" x14ac:dyDescent="0.3">
      <c r="A786">
        <v>10</v>
      </c>
      <c r="B786">
        <v>186.00906666324099</v>
      </c>
      <c r="C786">
        <v>143.48850108486499</v>
      </c>
      <c r="D786">
        <v>12.551276205242401</v>
      </c>
      <c r="E786">
        <v>61.879317848785398</v>
      </c>
      <c r="F786">
        <v>5.5736180203497501</v>
      </c>
      <c r="G786">
        <v>64.524240392413006</v>
      </c>
      <c r="H786">
        <v>45.291903419464298</v>
      </c>
      <c r="I786">
        <v>93.252330958702203</v>
      </c>
      <c r="J786">
        <v>72.944732024800601</v>
      </c>
      <c r="K786" t="s">
        <v>2</v>
      </c>
      <c r="L786" s="3">
        <v>0.161</v>
      </c>
      <c r="M786">
        <v>0</v>
      </c>
      <c r="N786">
        <f>LN(1+Table1[[#This Row],[Redness]])</f>
        <v>5.2311571005094013</v>
      </c>
      <c r="O786">
        <f>LN(1+Table1[[#This Row],[Greeness]])</f>
        <v>4.973199927118678</v>
      </c>
      <c r="P786">
        <f>LN(1+Table1[[#This Row],[Blueness]])</f>
        <v>2.6064807277793296</v>
      </c>
      <c r="Q786">
        <f>LN(1+Table1[[#This Row],[L* lab]])</f>
        <v>4.1412172996013137</v>
      </c>
      <c r="R786">
        <f>LN(1+Table1[[#This Row],[a* lab]]+128)</f>
        <v>4.9021113951789825</v>
      </c>
      <c r="S786">
        <v>5.26540277796959</v>
      </c>
      <c r="T786">
        <v>3.8349670736504722</v>
      </c>
      <c r="U786">
        <f>LN(1+Table1[[#This Row],[Saturation]])</f>
        <v>4.5459755576796157</v>
      </c>
      <c r="V786">
        <v>4.3033179496321887</v>
      </c>
      <c r="W786" t="s">
        <v>26</v>
      </c>
    </row>
    <row r="787" spans="1:23" x14ac:dyDescent="0.3">
      <c r="A787">
        <v>10</v>
      </c>
      <c r="B787">
        <v>187.6307555521</v>
      </c>
      <c r="C787">
        <v>144.64187860342599</v>
      </c>
      <c r="D787">
        <v>13.7262722758992</v>
      </c>
      <c r="E787">
        <v>62.353309049333298</v>
      </c>
      <c r="F787">
        <v>5.6921630528612299</v>
      </c>
      <c r="G787">
        <v>64.756129709549</v>
      </c>
      <c r="H787">
        <v>45.1681074097216</v>
      </c>
      <c r="I787">
        <v>92.684423065125998</v>
      </c>
      <c r="J787">
        <v>73.580688451804207</v>
      </c>
      <c r="K787" t="s">
        <v>2</v>
      </c>
      <c r="L787" s="3">
        <v>0.161</v>
      </c>
      <c r="M787">
        <v>0</v>
      </c>
      <c r="N787">
        <f>LN(1+Table1[[#This Row],[Redness]])</f>
        <v>5.2397914298211692</v>
      </c>
      <c r="O787">
        <f>LN(1+Table1[[#This Row],[Greeness]])</f>
        <v>4.9811507221764311</v>
      </c>
      <c r="P787">
        <f>LN(1+Table1[[#This Row],[Blueness]])</f>
        <v>2.6896331282431509</v>
      </c>
      <c r="Q787">
        <f>LN(1+Table1[[#This Row],[L* lab]])</f>
        <v>4.1487271398044516</v>
      </c>
      <c r="R787">
        <f>LN(1+Table1[[#This Row],[a* lab]]+128)</f>
        <v>4.9029919009729079</v>
      </c>
      <c r="S787">
        <v>5.2666003049435854</v>
      </c>
      <c r="T787">
        <v>3.8322892439031344</v>
      </c>
      <c r="U787">
        <f>LN(1+Table1[[#This Row],[Saturation]])</f>
        <v>4.53993193278981</v>
      </c>
      <c r="V787">
        <v>4.3118816057593454</v>
      </c>
      <c r="W787" t="s">
        <v>26</v>
      </c>
    </row>
    <row r="788" spans="1:23" x14ac:dyDescent="0.3">
      <c r="A788">
        <v>10</v>
      </c>
      <c r="B788">
        <v>182.158799996646</v>
      </c>
      <c r="C788">
        <v>138.94685766113699</v>
      </c>
      <c r="D788">
        <v>12.721272421683199</v>
      </c>
      <c r="E788">
        <v>60.288481360102999</v>
      </c>
      <c r="F788">
        <v>6.3315107137201796</v>
      </c>
      <c r="G788">
        <v>63.119492170132098</v>
      </c>
      <c r="H788">
        <v>44.698097421284302</v>
      </c>
      <c r="I788">
        <v>93.016383275517001</v>
      </c>
      <c r="J788">
        <v>71.434823528096402</v>
      </c>
      <c r="K788" t="s">
        <v>2</v>
      </c>
      <c r="L788" s="3">
        <v>0.161</v>
      </c>
      <c r="M788">
        <v>0</v>
      </c>
      <c r="N788">
        <f>LN(1+Table1[[#This Row],[Redness]])</f>
        <v>5.2103535361002891</v>
      </c>
      <c r="O788">
        <f>LN(1+Table1[[#This Row],[Greeness]])</f>
        <v>4.9412627624127561</v>
      </c>
      <c r="P788">
        <f>LN(1+Table1[[#This Row],[Blueness]])</f>
        <v>2.6189473601026454</v>
      </c>
      <c r="Q788">
        <f>LN(1+Table1[[#This Row],[L* lab]])</f>
        <v>4.1155919192514059</v>
      </c>
      <c r="R788">
        <f>LN(1+Table1[[#This Row],[a* lab]]+128)</f>
        <v>4.9077274032103242</v>
      </c>
      <c r="S788">
        <v>5.2581175334979608</v>
      </c>
      <c r="T788">
        <v>3.8220566651141459</v>
      </c>
      <c r="U788">
        <f>LN(1+Table1[[#This Row],[Saturation]])</f>
        <v>4.5434690572483118</v>
      </c>
      <c r="V788">
        <v>4.2826871717111743</v>
      </c>
      <c r="W788" t="s">
        <v>26</v>
      </c>
    </row>
    <row r="789" spans="1:23" x14ac:dyDescent="0.3">
      <c r="A789">
        <v>10</v>
      </c>
      <c r="B789">
        <v>179.91413333002001</v>
      </c>
      <c r="C789">
        <v>137.094724744063</v>
      </c>
      <c r="D789">
        <v>13.064242566068501</v>
      </c>
      <c r="E789">
        <v>59.560165264792303</v>
      </c>
      <c r="F789">
        <v>6.3400495117386297</v>
      </c>
      <c r="G789">
        <v>62.400795625761603</v>
      </c>
      <c r="H789">
        <v>44.601940682166102</v>
      </c>
      <c r="I789">
        <v>92.738623517639596</v>
      </c>
      <c r="J789">
        <v>70.554562090204101</v>
      </c>
      <c r="K789" t="s">
        <v>2</v>
      </c>
      <c r="L789" s="3">
        <v>0.161</v>
      </c>
      <c r="M789">
        <v>0</v>
      </c>
      <c r="N789">
        <f>LN(1+Table1[[#This Row],[Redness]])</f>
        <v>5.1980225172102346</v>
      </c>
      <c r="O789">
        <f>LN(1+Table1[[#This Row],[Greeness]])</f>
        <v>4.9279398608736544</v>
      </c>
      <c r="P789">
        <f>LN(1+Table1[[#This Row],[Blueness]])</f>
        <v>2.6436355880970246</v>
      </c>
      <c r="Q789">
        <f>LN(1+Table1[[#This Row],[L* lab]])</f>
        <v>4.1036373380685394</v>
      </c>
      <c r="R789">
        <f>LN(1+Table1[[#This Row],[a* lab]]+128)</f>
        <v>4.9077904966362764</v>
      </c>
      <c r="S789">
        <v>5.2543696358846219</v>
      </c>
      <c r="T789">
        <v>3.8199502744341718</v>
      </c>
      <c r="U789">
        <f>LN(1+Table1[[#This Row],[Saturation]])</f>
        <v>4.5405103083419389</v>
      </c>
      <c r="V789">
        <v>4.2704602648392012</v>
      </c>
      <c r="W789" t="s">
        <v>26</v>
      </c>
    </row>
    <row r="790" spans="1:23" x14ac:dyDescent="0.3">
      <c r="A790">
        <v>10</v>
      </c>
      <c r="B790">
        <v>182.60035555219301</v>
      </c>
      <c r="C790">
        <v>135.60032507992301</v>
      </c>
      <c r="D790">
        <v>5.6002309127516199</v>
      </c>
      <c r="E790">
        <v>59.460686544076999</v>
      </c>
      <c r="F790">
        <v>8.2768817200007092</v>
      </c>
      <c r="G790">
        <v>63.683445119195497</v>
      </c>
      <c r="H790">
        <v>44.067797499687202</v>
      </c>
      <c r="I790">
        <v>96.9330668082128</v>
      </c>
      <c r="J790">
        <v>71.607982569487604</v>
      </c>
      <c r="K790" t="s">
        <v>2</v>
      </c>
      <c r="L790">
        <v>0.161</v>
      </c>
      <c r="M790">
        <v>0</v>
      </c>
      <c r="N790">
        <f>LN(1+Table1[[#This Row],[Redness]])</f>
        <v>5.2127614147433006</v>
      </c>
      <c r="O790">
        <f>LN(1+Table1[[#This Row],[Greeness]])</f>
        <v>4.9170593269283165</v>
      </c>
      <c r="P790">
        <f>LN(1+Table1[[#This Row],[Blueness]])</f>
        <v>1.8871046352009051</v>
      </c>
      <c r="Q790">
        <f>LN(1+Table1[[#This Row],[L* lab]])</f>
        <v>4.1019933446304888</v>
      </c>
      <c r="R790">
        <f>LN(1+Table1[[#This Row],[a* lab]]+128)</f>
        <v>4.9219999207380836</v>
      </c>
      <c r="S790">
        <v>5.2610486616063028</v>
      </c>
      <c r="T790">
        <v>3.8081679670746245</v>
      </c>
      <c r="U790">
        <f>LN(1+Table1[[#This Row],[Saturation]])</f>
        <v>4.5842842535725197</v>
      </c>
      <c r="V790">
        <v>4.2850748685341529</v>
      </c>
    </row>
    <row r="791" spans="1:23" x14ac:dyDescent="0.3">
      <c r="A791">
        <v>10</v>
      </c>
      <c r="B791">
        <v>182.04302221886999</v>
      </c>
      <c r="C791">
        <v>135.04299187184799</v>
      </c>
      <c r="D791">
        <v>5.0429099835573998</v>
      </c>
      <c r="E791">
        <v>59.2542997672167</v>
      </c>
      <c r="F791">
        <v>8.3249747151754594</v>
      </c>
      <c r="G791">
        <v>63.596657530613399</v>
      </c>
      <c r="H791">
        <v>44.067796425619001</v>
      </c>
      <c r="I791">
        <v>97.229825168748107</v>
      </c>
      <c r="J791">
        <v>71.389420477988295</v>
      </c>
      <c r="K791" t="s">
        <v>2</v>
      </c>
      <c r="L791">
        <v>0.161</v>
      </c>
      <c r="M791">
        <v>0</v>
      </c>
      <c r="N791">
        <f>LN(1+Table1[[#This Row],[Redness]])</f>
        <v>5.2097212193033213</v>
      </c>
      <c r="O791">
        <f>LN(1+Table1[[#This Row],[Greeness]])</f>
        <v>4.9129709524864582</v>
      </c>
      <c r="P791">
        <f>LN(1+Table1[[#This Row],[Blueness]])</f>
        <v>1.7988856812826073</v>
      </c>
      <c r="Q791">
        <f>LN(1+Table1[[#This Row],[L* lab]])</f>
        <v>4.0985739352553558</v>
      </c>
      <c r="R791">
        <f>LN(1+Table1[[#This Row],[a* lab]]+128)</f>
        <v>4.9223501951046948</v>
      </c>
      <c r="S791">
        <v>5.2605981447514072</v>
      </c>
      <c r="T791">
        <v>3.8081679432423479</v>
      </c>
      <c r="U791">
        <f>LN(1+Table1[[#This Row],[Saturation]])</f>
        <v>4.5873098878699459</v>
      </c>
      <c r="V791">
        <v>4.2820601627195902</v>
      </c>
    </row>
    <row r="792" spans="1:23" x14ac:dyDescent="0.3">
      <c r="A792">
        <v>10</v>
      </c>
      <c r="B792">
        <v>182.46559999664001</v>
      </c>
      <c r="C792">
        <v>135.32832514105399</v>
      </c>
      <c r="D792">
        <v>5.6027197462472298</v>
      </c>
      <c r="E792">
        <v>59.375914759614602</v>
      </c>
      <c r="F792">
        <v>8.3661215609711892</v>
      </c>
      <c r="G792">
        <v>63.615873946873499</v>
      </c>
      <c r="H792">
        <v>44.008874630272402</v>
      </c>
      <c r="I792">
        <v>96.929437797398293</v>
      </c>
      <c r="J792">
        <v>71.555137253584405</v>
      </c>
      <c r="K792" t="s">
        <v>2</v>
      </c>
      <c r="L792">
        <v>0.161</v>
      </c>
      <c r="M792">
        <v>0</v>
      </c>
      <c r="N792">
        <f>LN(1+Table1[[#This Row],[Redness]])</f>
        <v>5.2120271839623209</v>
      </c>
      <c r="O792">
        <f>LN(1+Table1[[#This Row],[Greeness]])</f>
        <v>4.915066131793254</v>
      </c>
      <c r="P792">
        <f>LN(1+Table1[[#This Row],[Blueness]])</f>
        <v>1.8874816469143274</v>
      </c>
      <c r="Q792">
        <f>LN(1+Table1[[#This Row],[L* lab]])</f>
        <v>4.1005902631559215</v>
      </c>
      <c r="R792">
        <f>LN(1+Table1[[#This Row],[a* lab]]+128)</f>
        <v>4.9226497814157275</v>
      </c>
      <c r="S792">
        <v>5.2606979152142337</v>
      </c>
      <c r="T792">
        <v>3.8068596843322475</v>
      </c>
      <c r="U792">
        <f>LN(1+Table1[[#This Row],[Saturation]])</f>
        <v>4.584247196854367</v>
      </c>
      <c r="V792">
        <v>4.284346786659059</v>
      </c>
    </row>
    <row r="793" spans="1:23" x14ac:dyDescent="0.3">
      <c r="A793">
        <v>10</v>
      </c>
      <c r="B793">
        <v>182.02346666331499</v>
      </c>
      <c r="C793">
        <v>134.59676974991299</v>
      </c>
      <c r="D793">
        <v>5.4500120339098004</v>
      </c>
      <c r="E793">
        <v>59.138556327182599</v>
      </c>
      <c r="F793">
        <v>8.5682050958868103</v>
      </c>
      <c r="G793">
        <v>63.448926374328899</v>
      </c>
      <c r="H793">
        <v>43.884317035216299</v>
      </c>
      <c r="I793">
        <v>97.005873949214106</v>
      </c>
      <c r="J793">
        <v>71.381751632672604</v>
      </c>
      <c r="K793" t="s">
        <v>2</v>
      </c>
      <c r="L793">
        <v>0.161</v>
      </c>
      <c r="M793">
        <v>0</v>
      </c>
      <c r="N793">
        <f>LN(1+Table1[[#This Row],[Redness]])</f>
        <v>5.2096143777531241</v>
      </c>
      <c r="O793">
        <f>LN(1+Table1[[#This Row],[Greeness]])</f>
        <v>4.9096855533192523</v>
      </c>
      <c r="P793">
        <f>LN(1+Table1[[#This Row],[Blueness]])</f>
        <v>1.8640819965283904</v>
      </c>
      <c r="Q793">
        <f>LN(1+Table1[[#This Row],[L* lab]])</f>
        <v>4.096651172070767</v>
      </c>
      <c r="R793">
        <f>LN(1+Table1[[#This Row],[a* lab]]+128)</f>
        <v>4.9241198311819065</v>
      </c>
      <c r="S793">
        <v>5.2598308009889605</v>
      </c>
      <c r="T793">
        <v>3.8040884472126684</v>
      </c>
      <c r="U793">
        <f>LN(1+Table1[[#This Row],[Saturation]])</f>
        <v>4.5850274151316333</v>
      </c>
      <c r="V793">
        <v>4.2819542183494361</v>
      </c>
    </row>
    <row r="794" spans="1:23" x14ac:dyDescent="0.3">
      <c r="A794">
        <v>10</v>
      </c>
      <c r="B794">
        <v>182.136177774424</v>
      </c>
      <c r="C794">
        <v>134.569747533764</v>
      </c>
      <c r="D794">
        <v>5.1463743474460903</v>
      </c>
      <c r="E794">
        <v>59.143826786354502</v>
      </c>
      <c r="F794">
        <v>8.6301694469379502</v>
      </c>
      <c r="G794">
        <v>63.507037556105303</v>
      </c>
      <c r="H794">
        <v>43.8748574258003</v>
      </c>
      <c r="I794">
        <v>97.174435957572399</v>
      </c>
      <c r="J794">
        <v>71.4259520684016</v>
      </c>
      <c r="K794" t="s">
        <v>2</v>
      </c>
      <c r="L794">
        <v>0.161</v>
      </c>
      <c r="M794">
        <v>0</v>
      </c>
      <c r="N794">
        <f>LN(1+Table1[[#This Row],[Redness]])</f>
        <v>5.2102300169497484</v>
      </c>
      <c r="O794">
        <f>LN(1+Table1[[#This Row],[Greeness]])</f>
        <v>4.9094862498321623</v>
      </c>
      <c r="P794">
        <f>LN(1+Table1[[#This Row],[Blueness]])</f>
        <v>1.8158623709725243</v>
      </c>
      <c r="Q794">
        <f>LN(1+Table1[[#This Row],[L* lab]])</f>
        <v>4.0967388068355408</v>
      </c>
      <c r="R794">
        <f>LN(1+Table1[[#This Row],[a* lab]]+128)</f>
        <v>4.924570156168028</v>
      </c>
      <c r="S794">
        <v>5.2601327117925996</v>
      </c>
      <c r="T794">
        <v>3.8038776696624552</v>
      </c>
      <c r="U794">
        <f>LN(1+Table1[[#This Row],[Saturation]])</f>
        <v>4.5867458551720146</v>
      </c>
      <c r="V794">
        <v>4.2825646891458371</v>
      </c>
    </row>
    <row r="795" spans="1:23" x14ac:dyDescent="0.3">
      <c r="A795">
        <v>10</v>
      </c>
      <c r="B795">
        <v>182.36746666330799</v>
      </c>
      <c r="C795">
        <v>134.05543653824199</v>
      </c>
      <c r="D795">
        <v>5.3655694688803699</v>
      </c>
      <c r="E795">
        <v>59.038860600407901</v>
      </c>
      <c r="F795">
        <v>9.0220812126149603</v>
      </c>
      <c r="G795">
        <v>63.409375506171202</v>
      </c>
      <c r="H795">
        <v>43.623216171971997</v>
      </c>
      <c r="I795">
        <v>97.057825297981196</v>
      </c>
      <c r="J795">
        <v>71.516653593454393</v>
      </c>
      <c r="K795" t="s">
        <v>2</v>
      </c>
      <c r="L795">
        <v>0.161</v>
      </c>
      <c r="M795">
        <v>0</v>
      </c>
      <c r="N795">
        <f>LN(1+Table1[[#This Row],[Redness]])</f>
        <v>5.2114921540285888</v>
      </c>
      <c r="O795">
        <f>LN(1+Table1[[#This Row],[Greeness]])</f>
        <v>4.9056853351724934</v>
      </c>
      <c r="P795">
        <f>LN(1+Table1[[#This Row],[Blueness]])</f>
        <v>1.8509036968023065</v>
      </c>
      <c r="Q795">
        <f>LN(1+Table1[[#This Row],[L* lab]])</f>
        <v>4.0949920292435484</v>
      </c>
      <c r="R795">
        <f>LN(1+Table1[[#This Row],[a* lab]]+128)</f>
        <v>4.9274136811442286</v>
      </c>
      <c r="S795">
        <v>5.2596252662864291</v>
      </c>
      <c r="T795">
        <v>3.7982542655635099</v>
      </c>
      <c r="U795">
        <f>LN(1+Table1[[#This Row],[Saturation]])</f>
        <v>4.5855573587181553</v>
      </c>
      <c r="V795">
        <v>4.2838162402198376</v>
      </c>
    </row>
    <row r="796" spans="1:23" x14ac:dyDescent="0.3">
      <c r="A796">
        <v>10</v>
      </c>
      <c r="B796">
        <v>182.00764444109299</v>
      </c>
      <c r="C796">
        <v>133.58254775563299</v>
      </c>
      <c r="D796">
        <v>5.1127750952554303</v>
      </c>
      <c r="E796">
        <v>58.876842372890998</v>
      </c>
      <c r="F796">
        <v>9.1175872461334606</v>
      </c>
      <c r="G796">
        <v>63.316198948962601</v>
      </c>
      <c r="H796">
        <v>43.5749571942237</v>
      </c>
      <c r="I796">
        <v>97.190900903664897</v>
      </c>
      <c r="J796">
        <v>71.375546839644301</v>
      </c>
      <c r="K796" t="s">
        <v>2</v>
      </c>
      <c r="L796">
        <v>0.161</v>
      </c>
      <c r="M796">
        <v>0</v>
      </c>
      <c r="N796">
        <f>LN(1+Table1[[#This Row],[Redness]])</f>
        <v>5.2095279248711055</v>
      </c>
      <c r="O796">
        <f>LN(1+Table1[[#This Row],[Greeness]])</f>
        <v>4.902177748741873</v>
      </c>
      <c r="P796">
        <f>LN(1+Table1[[#This Row],[Blueness]])</f>
        <v>1.8103808591470412</v>
      </c>
      <c r="Q796">
        <f>LN(1+Table1[[#This Row],[L* lab]])</f>
        <v>4.0922898255773656</v>
      </c>
      <c r="R796">
        <f>LN(1+Table1[[#This Row],[a* lab]]+128)</f>
        <v>4.9281054038355734</v>
      </c>
      <c r="S796">
        <v>5.2591408869510428</v>
      </c>
      <c r="T796">
        <v>3.797172203439684</v>
      </c>
      <c r="U796">
        <f>LN(1+Table1[[#This Row],[Saturation]])</f>
        <v>4.5869135522451767</v>
      </c>
      <c r="V796">
        <v>4.2818684915073693</v>
      </c>
    </row>
    <row r="797" spans="1:23" x14ac:dyDescent="0.3">
      <c r="A797">
        <v>10</v>
      </c>
      <c r="B797">
        <v>180.15111110779401</v>
      </c>
      <c r="C797">
        <v>131.80441482192799</v>
      </c>
      <c r="D797">
        <v>3.8043597718520901</v>
      </c>
      <c r="E797">
        <v>58.209016818030101</v>
      </c>
      <c r="F797">
        <v>9.2432948293824904</v>
      </c>
      <c r="G797">
        <v>62.961823879299502</v>
      </c>
      <c r="H797">
        <v>43.550580006853103</v>
      </c>
      <c r="I797">
        <v>97.888239629243301</v>
      </c>
      <c r="J797">
        <v>70.647494552076097</v>
      </c>
      <c r="K797" t="s">
        <v>2</v>
      </c>
      <c r="L797">
        <v>0.161</v>
      </c>
      <c r="M797">
        <v>0</v>
      </c>
      <c r="N797">
        <f>LN(1+Table1[[#This Row],[Redness]])</f>
        <v>5.1993315509562477</v>
      </c>
      <c r="O797">
        <f>LN(1+Table1[[#This Row],[Greeness]])</f>
        <v>4.8888774806307831</v>
      </c>
      <c r="P797">
        <f>LN(1+Table1[[#This Row],[Blueness]])</f>
        <v>1.5695237914744178</v>
      </c>
      <c r="Q797">
        <f>LN(1+Table1[[#This Row],[L* lab]])</f>
        <v>4.0810738414071732</v>
      </c>
      <c r="R797">
        <f>LN(1+Table1[[#This Row],[a* lab]]+128)</f>
        <v>4.9290151388963013</v>
      </c>
      <c r="S797">
        <v>5.257296518295707</v>
      </c>
      <c r="T797">
        <v>3.7966251730655842</v>
      </c>
      <c r="U797">
        <f>LN(1+Table1[[#This Row],[Saturation]])</f>
        <v>4.5939903198214349</v>
      </c>
      <c r="V797">
        <v>4.2717581857922546</v>
      </c>
    </row>
    <row r="798" spans="1:23" x14ac:dyDescent="0.3">
      <c r="A798">
        <v>10</v>
      </c>
      <c r="B798">
        <v>180.373333330012</v>
      </c>
      <c r="C798">
        <v>132.001748110911</v>
      </c>
      <c r="D798">
        <v>4.7554497148151196</v>
      </c>
      <c r="E798">
        <v>58.286726302759902</v>
      </c>
      <c r="F798">
        <v>9.2473458456538395</v>
      </c>
      <c r="G798">
        <v>62.8718337650729</v>
      </c>
      <c r="H798">
        <v>43.473806577094599</v>
      </c>
      <c r="I798">
        <v>97.363551680827101</v>
      </c>
      <c r="J798">
        <v>70.734640521573397</v>
      </c>
      <c r="K798" t="s">
        <v>2</v>
      </c>
      <c r="L798">
        <v>0.161</v>
      </c>
      <c r="M798">
        <v>0</v>
      </c>
      <c r="N798">
        <f>LN(1+Table1[[#This Row],[Redness]])</f>
        <v>5.2005575220788076</v>
      </c>
      <c r="O798">
        <f>LN(1+Table1[[#This Row],[Greeness]])</f>
        <v>4.8903622718264366</v>
      </c>
      <c r="P798">
        <f>LN(1+Table1[[#This Row],[Blueness]])</f>
        <v>1.7501471824422961</v>
      </c>
      <c r="Q798">
        <f>LN(1+Table1[[#This Row],[L* lab]])</f>
        <v>4.0823854411967258</v>
      </c>
      <c r="R798">
        <f>LN(1+Table1[[#This Row],[a* lab]]+128)</f>
        <v>4.9290444419950372</v>
      </c>
      <c r="S798">
        <v>5.256827616655201</v>
      </c>
      <c r="T798">
        <v>3.794900399624578</v>
      </c>
      <c r="U798">
        <f>LN(1+Table1[[#This Row],[Saturation]])</f>
        <v>4.5886703256918802</v>
      </c>
      <c r="V798">
        <v>4.2729737623378723</v>
      </c>
    </row>
    <row r="799" spans="1:23" x14ac:dyDescent="0.3">
      <c r="A799">
        <v>10</v>
      </c>
      <c r="B799">
        <v>181.001955552222</v>
      </c>
      <c r="C799">
        <v>132.33312581421299</v>
      </c>
      <c r="D799">
        <v>4.3330591158468703</v>
      </c>
      <c r="E799">
        <v>58.441853036311301</v>
      </c>
      <c r="F799">
        <v>9.3433695033839292</v>
      </c>
      <c r="G799">
        <v>63.084079088067703</v>
      </c>
      <c r="H799">
        <v>43.471172101127699</v>
      </c>
      <c r="I799">
        <v>97.606070551764404</v>
      </c>
      <c r="J799">
        <v>70.981159040087306</v>
      </c>
      <c r="K799" t="s">
        <v>2</v>
      </c>
      <c r="L799">
        <v>0.161</v>
      </c>
      <c r="M799">
        <v>0</v>
      </c>
      <c r="N799">
        <f>LN(1+Table1[[#This Row],[Redness]])</f>
        <v>5.2040174318114989</v>
      </c>
      <c r="O799">
        <f>LN(1+Table1[[#This Row],[Greeness]])</f>
        <v>4.8928507020452585</v>
      </c>
      <c r="P799">
        <f>LN(1+Table1[[#This Row],[Blueness]])</f>
        <v>1.6739250164711232</v>
      </c>
      <c r="Q799">
        <f>LN(1+Table1[[#This Row],[L* lab]])</f>
        <v>4.0849985748278712</v>
      </c>
      <c r="R799">
        <f>LN(1+Table1[[#This Row],[a* lab]]+128)</f>
        <v>4.9297387795577912</v>
      </c>
      <c r="S799">
        <v>5.2579331880893605</v>
      </c>
      <c r="T799">
        <v>3.7948411612952917</v>
      </c>
      <c r="U799">
        <f>LN(1+Table1[[#This Row],[Saturation]])</f>
        <v>4.591132827175505</v>
      </c>
      <c r="V799">
        <v>4.2764044047730829</v>
      </c>
    </row>
    <row r="800" spans="1:23" x14ac:dyDescent="0.3">
      <c r="A800">
        <v>10</v>
      </c>
      <c r="B800">
        <v>182.80888888552201</v>
      </c>
      <c r="C800">
        <v>133.80885881588199</v>
      </c>
      <c r="D800">
        <v>5.8087596049190298</v>
      </c>
      <c r="E800">
        <v>59.026458585636398</v>
      </c>
      <c r="F800">
        <v>9.3641896404482203</v>
      </c>
      <c r="G800">
        <v>63.352126945614302</v>
      </c>
      <c r="H800">
        <v>43.389832447423899</v>
      </c>
      <c r="I800">
        <v>96.822496083023296</v>
      </c>
      <c r="J800">
        <v>71.6897603472638</v>
      </c>
      <c r="K800" t="s">
        <v>2</v>
      </c>
      <c r="L800">
        <v>0.161</v>
      </c>
      <c r="M800">
        <v>0</v>
      </c>
      <c r="N800">
        <f>LN(1+Table1[[#This Row],[Redness]])</f>
        <v>5.2138965704797373</v>
      </c>
      <c r="O800">
        <f>LN(1+Table1[[#This Row],[Greeness]])</f>
        <v>4.9038579145375687</v>
      </c>
      <c r="P800">
        <f>LN(1+Table1[[#This Row],[Blueness]])</f>
        <v>1.9182099603876408</v>
      </c>
      <c r="Q800">
        <f>LN(1+Table1[[#This Row],[L* lab]])</f>
        <v>4.0947854414478435</v>
      </c>
      <c r="R800">
        <f>LN(1+Table1[[#This Row],[a* lab]]+128)</f>
        <v>4.9298892643307255</v>
      </c>
      <c r="S800">
        <v>5.2593276868216723</v>
      </c>
      <c r="T800">
        <v>3.7930104442820261</v>
      </c>
      <c r="U800">
        <f>LN(1+Table1[[#This Row],[Saturation]])</f>
        <v>4.5831545718887359</v>
      </c>
      <c r="V800">
        <v>4.2862005265763177</v>
      </c>
    </row>
    <row r="801" spans="1:23" x14ac:dyDescent="0.3">
      <c r="A801">
        <v>10</v>
      </c>
      <c r="B801">
        <v>182.52444444108301</v>
      </c>
      <c r="C801">
        <v>133.524414435365</v>
      </c>
      <c r="D801">
        <v>5.5243214911356899</v>
      </c>
      <c r="E801">
        <v>58.921090265114302</v>
      </c>
      <c r="F801">
        <v>9.3891111091046309</v>
      </c>
      <c r="G801">
        <v>63.308280445040602</v>
      </c>
      <c r="H801">
        <v>43.389831875006799</v>
      </c>
      <c r="I801">
        <v>96.973379917384705</v>
      </c>
      <c r="J801">
        <v>71.578213506307307</v>
      </c>
      <c r="K801" t="s">
        <v>2</v>
      </c>
      <c r="L801">
        <v>0.161</v>
      </c>
      <c r="M801">
        <v>0</v>
      </c>
      <c r="N801">
        <f>LN(1+Table1[[#This Row],[Redness]])</f>
        <v>5.2123478708356528</v>
      </c>
      <c r="O801">
        <f>LN(1+Table1[[#This Row],[Greeness]])</f>
        <v>4.9017457025346776</v>
      </c>
      <c r="P801">
        <f>LN(1+Table1[[#This Row],[Blueness]])</f>
        <v>1.8755369617689903</v>
      </c>
      <c r="Q801">
        <f>LN(1+Table1[[#This Row],[L* lab]])</f>
        <v>4.0930285343891297</v>
      </c>
      <c r="R801">
        <f>LN(1+Table1[[#This Row],[a* lab]]+128)</f>
        <v>4.9300693631310386</v>
      </c>
      <c r="S801">
        <v>5.2590997117042901</v>
      </c>
      <c r="T801">
        <v>3.7930104313867958</v>
      </c>
      <c r="U801">
        <f>LN(1+Table1[[#This Row],[Saturation]])</f>
        <v>4.5846958082754377</v>
      </c>
      <c r="V801">
        <v>4.2846647873501</v>
      </c>
    </row>
    <row r="802" spans="1:23" x14ac:dyDescent="0.3">
      <c r="A802">
        <v>50</v>
      </c>
      <c r="B802">
        <v>181.834822218874</v>
      </c>
      <c r="C802">
        <v>127.834793491862</v>
      </c>
      <c r="D802">
        <v>3.83473687353505</v>
      </c>
      <c r="E802">
        <v>57.396273683570101</v>
      </c>
      <c r="F802">
        <v>12.2099861686082</v>
      </c>
      <c r="G802">
        <v>62.483242644835798</v>
      </c>
      <c r="H802">
        <v>41.797751853125497</v>
      </c>
      <c r="I802">
        <v>97.8910877318541</v>
      </c>
      <c r="J802">
        <v>71.307773419166296</v>
      </c>
      <c r="K802" t="s">
        <v>2</v>
      </c>
      <c r="L802">
        <v>0.80500000000000005</v>
      </c>
      <c r="M802">
        <v>0</v>
      </c>
      <c r="N802">
        <f>LN(1+Table1[[#This Row],[Redness]])</f>
        <v>5.2085831344171574</v>
      </c>
      <c r="O802">
        <f>LN(1+Table1[[#This Row],[Greeness]])</f>
        <v>4.8585309129965282</v>
      </c>
      <c r="P802">
        <f>LN(1+Table1[[#This Row],[Blueness]])</f>
        <v>1.5758267062320337</v>
      </c>
      <c r="Q802">
        <f>LN(1+Table1[[#This Row],[L* lab]])</f>
        <v>4.0672520810102588</v>
      </c>
      <c r="R802">
        <f>LN(1+Table1[[#This Row],[a* lab]]+128)</f>
        <v>4.9502480461320602</v>
      </c>
      <c r="S802">
        <v>5.2548002990207552</v>
      </c>
      <c r="T802">
        <v>3.7564855744120376</v>
      </c>
      <c r="U802">
        <f>LN(1+Table1[[#This Row],[Saturation]])</f>
        <v>4.5940191206334209</v>
      </c>
      <c r="V802">
        <v>4.2809316395563108</v>
      </c>
    </row>
    <row r="803" spans="1:23" x14ac:dyDescent="0.3">
      <c r="A803">
        <v>50</v>
      </c>
      <c r="B803">
        <v>179.478577774473</v>
      </c>
      <c r="C803">
        <v>125.39854959495401</v>
      </c>
      <c r="D803">
        <v>2.4492343769509</v>
      </c>
      <c r="E803">
        <v>56.502473138596699</v>
      </c>
      <c r="F803">
        <v>12.4818230202282</v>
      </c>
      <c r="G803">
        <v>61.973518124519799</v>
      </c>
      <c r="H803">
        <v>41.670825703257101</v>
      </c>
      <c r="I803">
        <v>98.635361162696199</v>
      </c>
      <c r="J803">
        <v>70.383755989989396</v>
      </c>
      <c r="K803" t="s">
        <v>2</v>
      </c>
      <c r="L803">
        <v>0.80500000000000005</v>
      </c>
      <c r="M803">
        <v>0</v>
      </c>
      <c r="N803">
        <f>LN(1+Table1[[#This Row],[Redness]])</f>
        <v>5.1956120880396872</v>
      </c>
      <c r="O803">
        <f>LN(1+Table1[[#This Row],[Greeness]])</f>
        <v>4.8394400069234571</v>
      </c>
      <c r="P803">
        <f>LN(1+Table1[[#This Row],[Blueness]])</f>
        <v>1.2381522866910659</v>
      </c>
      <c r="Q803">
        <f>LN(1+Table1[[#This Row],[L* lab]])</f>
        <v>4.0518279579843828</v>
      </c>
      <c r="R803">
        <f>LN(1+Table1[[#This Row],[a* lab]]+128)</f>
        <v>4.9521712496106982</v>
      </c>
      <c r="S803">
        <v>5.2521347698713061</v>
      </c>
      <c r="T803">
        <v>3.7535154479209809</v>
      </c>
      <c r="U803">
        <f>LN(1+Table1[[#This Row],[Saturation]])</f>
        <v>4.6015171333356699</v>
      </c>
      <c r="V803">
        <v>4.268070336318857</v>
      </c>
    </row>
    <row r="804" spans="1:23" x14ac:dyDescent="0.3">
      <c r="A804">
        <v>50</v>
      </c>
      <c r="B804">
        <v>194.24871110753401</v>
      </c>
      <c r="C804">
        <v>136.625302627341</v>
      </c>
      <c r="D804">
        <v>8.0911338067422101</v>
      </c>
      <c r="E804">
        <v>61.049585362937499</v>
      </c>
      <c r="F804">
        <v>12.9819996830657</v>
      </c>
      <c r="G804">
        <v>65.0460186602145</v>
      </c>
      <c r="H804">
        <v>41.427538116135302</v>
      </c>
      <c r="I804">
        <v>95.834652512951195</v>
      </c>
      <c r="J804">
        <v>76.175965140209598</v>
      </c>
      <c r="K804" t="s">
        <v>2</v>
      </c>
      <c r="L804" s="3">
        <v>0.80500000000000005</v>
      </c>
      <c r="M804">
        <v>0</v>
      </c>
      <c r="N804">
        <f>LN(1+Table1[[#This Row],[Redness]])</f>
        <v>5.274274187456184</v>
      </c>
      <c r="O804">
        <f>LN(1+Table1[[#This Row],[Greeness]])</f>
        <v>4.9245347939675179</v>
      </c>
      <c r="P804">
        <f>LN(1+Table1[[#This Row],[Blueness]])</f>
        <v>2.2072996316258608</v>
      </c>
      <c r="Q804">
        <f>LN(1+Table1[[#This Row],[L* lab]])</f>
        <v>4.1279338293226893</v>
      </c>
      <c r="R804">
        <f>LN(1+Table1[[#This Row],[a* lab]]+128)</f>
        <v>4.9557002867708668</v>
      </c>
      <c r="S804">
        <v>5.2680953405223168</v>
      </c>
      <c r="T804">
        <v>3.7477976352856577</v>
      </c>
      <c r="U804">
        <f>LN(1+Table1[[#This Row],[Saturation]])</f>
        <v>4.5730049107284918</v>
      </c>
      <c r="V804">
        <v>4.3460880761760388</v>
      </c>
      <c r="W804" t="s">
        <v>26</v>
      </c>
    </row>
    <row r="805" spans="1:23" x14ac:dyDescent="0.3">
      <c r="A805">
        <v>50</v>
      </c>
      <c r="B805">
        <v>180.493866663343</v>
      </c>
      <c r="C805">
        <v>125.13348298786001</v>
      </c>
      <c r="D805">
        <v>2.3040598302832</v>
      </c>
      <c r="E805">
        <v>56.556523778131996</v>
      </c>
      <c r="F805">
        <v>13.0862325757415</v>
      </c>
      <c r="G805">
        <v>62.096259506223603</v>
      </c>
      <c r="H805">
        <v>41.359073902353501</v>
      </c>
      <c r="I805">
        <v>98.723469183259994</v>
      </c>
      <c r="J805">
        <v>70.781908495428695</v>
      </c>
      <c r="K805" t="s">
        <v>2</v>
      </c>
      <c r="L805">
        <v>0.80500000000000005</v>
      </c>
      <c r="M805">
        <v>0</v>
      </c>
      <c r="N805">
        <f>LN(1+Table1[[#This Row],[Redness]])</f>
        <v>5.2012218606454583</v>
      </c>
      <c r="O805">
        <f>LN(1+Table1[[#This Row],[Greeness]])</f>
        <v>4.8373407349877153</v>
      </c>
      <c r="P805">
        <f>LN(1+Table1[[#This Row],[Blueness]])</f>
        <v>1.1951519639340009</v>
      </c>
      <c r="Q805">
        <f>LN(1+Table1[[#This Row],[L* lab]])</f>
        <v>4.0527674871817458</v>
      </c>
      <c r="R805">
        <f>LN(1+Table1[[#This Row],[a* lab]]+128)</f>
        <v>4.9564341449465932</v>
      </c>
      <c r="S805">
        <v>5.2527772775655146</v>
      </c>
      <c r="T805">
        <v>3.7461826579435438</v>
      </c>
      <c r="U805">
        <f>LN(1+Table1[[#This Row],[Saturation]])</f>
        <v>4.6024010472927044</v>
      </c>
      <c r="V805">
        <v>4.2736324734884423</v>
      </c>
    </row>
    <row r="806" spans="1:23" x14ac:dyDescent="0.3">
      <c r="A806">
        <v>50</v>
      </c>
      <c r="B806">
        <v>178.932799996705</v>
      </c>
      <c r="C806">
        <v>123.587705557489</v>
      </c>
      <c r="D806">
        <v>2.2683717356944499</v>
      </c>
      <c r="E806">
        <v>55.982996977099802</v>
      </c>
      <c r="F806">
        <v>13.241241782863799</v>
      </c>
      <c r="G806">
        <v>61.618965832065498</v>
      </c>
      <c r="H806">
        <v>41.203314673813097</v>
      </c>
      <c r="I806">
        <v>98.7322772930752</v>
      </c>
      <c r="J806">
        <v>70.169725488904007</v>
      </c>
      <c r="K806" t="s">
        <v>2</v>
      </c>
      <c r="L806">
        <v>0.80500000000000005</v>
      </c>
      <c r="M806">
        <v>0</v>
      </c>
      <c r="N806">
        <f>LN(1+Table1[[#This Row],[Redness]])</f>
        <v>5.1925834478323258</v>
      </c>
      <c r="O806">
        <f>LN(1+Table1[[#This Row],[Greeness]])</f>
        <v>4.8250099301968108</v>
      </c>
      <c r="P806">
        <f>LN(1+Table1[[#This Row],[Blueness]])</f>
        <v>1.1842919207411915</v>
      </c>
      <c r="Q806">
        <f>LN(1+Table1[[#This Row],[L* lab]])</f>
        <v>4.0427529246872869</v>
      </c>
      <c r="R806">
        <f>LN(1+Table1[[#This Row],[a* lab]]+128)</f>
        <v>4.9575245019219736</v>
      </c>
      <c r="S806">
        <v>5.2502764922091973</v>
      </c>
      <c r="T806">
        <v>3.742498764730152</v>
      </c>
      <c r="U806">
        <f>LN(1+Table1[[#This Row],[Saturation]])</f>
        <v>4.6024893687372002</v>
      </c>
      <c r="V806">
        <v>4.2650675241856293</v>
      </c>
    </row>
    <row r="807" spans="1:23" x14ac:dyDescent="0.3">
      <c r="A807">
        <v>50</v>
      </c>
      <c r="B807">
        <v>180.580444441119</v>
      </c>
      <c r="C807">
        <v>124.45810536187</v>
      </c>
      <c r="D807">
        <v>4.2147506378951096</v>
      </c>
      <c r="E807">
        <v>56.401790102753203</v>
      </c>
      <c r="F807">
        <v>13.526506799354999</v>
      </c>
      <c r="G807">
        <v>61.660691500221397</v>
      </c>
      <c r="H807">
        <v>40.907055833024202</v>
      </c>
      <c r="I807">
        <v>97.665998302895105</v>
      </c>
      <c r="J807">
        <v>70.815860565144803</v>
      </c>
      <c r="K807" t="s">
        <v>2</v>
      </c>
      <c r="L807">
        <v>0.80500000000000005</v>
      </c>
      <c r="M807">
        <v>0</v>
      </c>
      <c r="N807">
        <f>LN(1+Table1[[#This Row],[Redness]])</f>
        <v>5.2016987755731687</v>
      </c>
      <c r="O807">
        <f>LN(1+Table1[[#This Row],[Greeness]])</f>
        <v>4.8319718810231631</v>
      </c>
      <c r="P807">
        <f>LN(1+Table1[[#This Row],[Blueness]])</f>
        <v>1.6514912709902487</v>
      </c>
      <c r="Q807">
        <f>LN(1+Table1[[#This Row],[L* lab]])</f>
        <v>4.0500754892983482</v>
      </c>
      <c r="R807">
        <f>LN(1+Table1[[#This Row],[a* lab]]+128)</f>
        <v>4.9595279950375541</v>
      </c>
      <c r="S807">
        <v>5.250495363935082</v>
      </c>
      <c r="T807">
        <v>3.7354542097204653</v>
      </c>
      <c r="U807">
        <f>LN(1+Table1[[#This Row],[Saturation]])</f>
        <v>4.591740391675863</v>
      </c>
      <c r="V807">
        <v>4.2741053508955344</v>
      </c>
    </row>
    <row r="808" spans="1:23" x14ac:dyDescent="0.3">
      <c r="A808">
        <v>50</v>
      </c>
      <c r="B808">
        <v>175.61564444121001</v>
      </c>
      <c r="C808">
        <v>120.962817258534</v>
      </c>
      <c r="D808">
        <v>3.8932911258646601</v>
      </c>
      <c r="E808">
        <v>54.929462319947802</v>
      </c>
      <c r="F808">
        <v>13.227665712924701</v>
      </c>
      <c r="G808">
        <v>60.423012620666</v>
      </c>
      <c r="H808">
        <v>40.904235426247403</v>
      </c>
      <c r="I808">
        <v>97.783061333600003</v>
      </c>
      <c r="J808">
        <v>68.868880173023896</v>
      </c>
      <c r="K808" t="s">
        <v>2</v>
      </c>
      <c r="L808">
        <v>0.80500000000000005</v>
      </c>
      <c r="M808">
        <v>0</v>
      </c>
      <c r="N808">
        <f>LN(1+Table1[[#This Row],[Redness]])</f>
        <v>5.1739758711160935</v>
      </c>
      <c r="O808">
        <f>LN(1+Table1[[#This Row],[Greeness]])</f>
        <v>4.8037162217100455</v>
      </c>
      <c r="P808">
        <f>LN(1+Table1[[#This Row],[Blueness]])</f>
        <v>1.5878651089765627</v>
      </c>
      <c r="Q808">
        <f>LN(1+Table1[[#This Row],[L* lab]])</f>
        <v>4.024091295340976</v>
      </c>
      <c r="R808">
        <f>LN(1+Table1[[#This Row],[a* lab]]+128)</f>
        <v>4.957429053388994</v>
      </c>
      <c r="S808">
        <v>5.2439826761201456</v>
      </c>
      <c r="T808">
        <v>3.735386905978082</v>
      </c>
      <c r="U808">
        <f>LN(1+Table1[[#This Row],[Saturation]])</f>
        <v>4.5929261460637179</v>
      </c>
      <c r="V808">
        <v>4.246620345142718</v>
      </c>
    </row>
    <row r="809" spans="1:23" x14ac:dyDescent="0.3">
      <c r="A809">
        <v>50</v>
      </c>
      <c r="B809">
        <v>178.47359999671301</v>
      </c>
      <c r="C809">
        <v>123.588416668441</v>
      </c>
      <c r="D809">
        <v>6.1019086359369803</v>
      </c>
      <c r="E809">
        <v>55.936469120337399</v>
      </c>
      <c r="F809">
        <v>13.0851248481748</v>
      </c>
      <c r="G809">
        <v>60.885585309263497</v>
      </c>
      <c r="H809">
        <v>40.895291020821801</v>
      </c>
      <c r="I809">
        <v>96.581058130698693</v>
      </c>
      <c r="J809">
        <v>69.989647057534796</v>
      </c>
      <c r="K809" t="s">
        <v>2</v>
      </c>
      <c r="L809">
        <v>0.80500000000000005</v>
      </c>
      <c r="M809">
        <v>0</v>
      </c>
      <c r="N809">
        <f>LN(1+Table1[[#This Row],[Redness]])</f>
        <v>5.1900281218844864</v>
      </c>
      <c r="O809">
        <f>LN(1+Table1[[#This Row],[Greeness]])</f>
        <v>4.8250156378942064</v>
      </c>
      <c r="P809">
        <f>LN(1+Table1[[#This Row],[Blueness]])</f>
        <v>1.9603635698840751</v>
      </c>
      <c r="Q809">
        <f>LN(1+Table1[[#This Row],[L* lab]])</f>
        <v>4.0419360693956765</v>
      </c>
      <c r="R809">
        <f>LN(1+Table1[[#This Row],[a* lab]]+128)</f>
        <v>4.9564263487522355</v>
      </c>
      <c r="S809">
        <v>5.2464217081929094</v>
      </c>
      <c r="T809">
        <v>3.7351734344743925</v>
      </c>
      <c r="U809">
        <f>LN(1+Table1[[#This Row],[Saturation]])</f>
        <v>4.5806833980540338</v>
      </c>
      <c r="V809">
        <v>4.262534050318056</v>
      </c>
    </row>
    <row r="810" spans="1:23" x14ac:dyDescent="0.3">
      <c r="A810">
        <v>50</v>
      </c>
      <c r="B810">
        <v>178.60355555226599</v>
      </c>
      <c r="C810">
        <v>122.34468361463099</v>
      </c>
      <c r="D810">
        <v>5.1454854783405199</v>
      </c>
      <c r="E810">
        <v>55.6385758167863</v>
      </c>
      <c r="F810">
        <v>13.824782846056401</v>
      </c>
      <c r="G810">
        <v>60.8486914137954</v>
      </c>
      <c r="H810">
        <v>40.539779355209603</v>
      </c>
      <c r="I810">
        <v>97.119046447630893</v>
      </c>
      <c r="J810">
        <v>70.0406100204968</v>
      </c>
      <c r="K810" t="s">
        <v>2</v>
      </c>
      <c r="L810">
        <v>0.80500000000000005</v>
      </c>
      <c r="M810">
        <v>0</v>
      </c>
      <c r="N810">
        <f>LN(1+Table1[[#This Row],[Redness]])</f>
        <v>5.1907519527337547</v>
      </c>
      <c r="O810">
        <f>LN(1+Table1[[#This Row],[Greeness]])</f>
        <v>4.8149827420435427</v>
      </c>
      <c r="P810">
        <f>LN(1+Table1[[#This Row],[Blueness]])</f>
        <v>1.8157177436956569</v>
      </c>
      <c r="Q810">
        <f>LN(1+Table1[[#This Row],[L* lab]])</f>
        <v>4.0366903045916933</v>
      </c>
      <c r="R810">
        <f>LN(1+Table1[[#This Row],[a* lab]]+128)</f>
        <v>4.9616185841896705</v>
      </c>
      <c r="S810">
        <v>5.246227393916608</v>
      </c>
      <c r="T810">
        <v>3.7266515068115584</v>
      </c>
      <c r="U810">
        <f>LN(1+Table1[[#This Row],[Saturation]])</f>
        <v>4.5861815011167195</v>
      </c>
      <c r="V810">
        <v>4.2632516856472833</v>
      </c>
    </row>
    <row r="811" spans="1:23" x14ac:dyDescent="0.3">
      <c r="A811">
        <v>50</v>
      </c>
      <c r="B811">
        <v>176.62239999674699</v>
      </c>
      <c r="C811">
        <v>120.848328395376</v>
      </c>
      <c r="D811">
        <v>5.0612206871321996</v>
      </c>
      <c r="E811">
        <v>55.025264092476597</v>
      </c>
      <c r="F811">
        <v>13.7637786172864</v>
      </c>
      <c r="G811">
        <v>60.325250645746998</v>
      </c>
      <c r="H811">
        <v>40.494163600711801</v>
      </c>
      <c r="I811">
        <v>97.134440089577794</v>
      </c>
      <c r="J811">
        <v>69.263686273234399</v>
      </c>
      <c r="K811" t="s">
        <v>2</v>
      </c>
      <c r="L811">
        <v>0.80500000000000005</v>
      </c>
      <c r="M811">
        <v>0</v>
      </c>
      <c r="N811">
        <f>LN(1+Table1[[#This Row],[Redness]])</f>
        <v>5.1796599487126507</v>
      </c>
      <c r="O811">
        <f>LN(1+Table1[[#This Row],[Greeness]])</f>
        <v>4.8027770614328062</v>
      </c>
      <c r="P811">
        <f>LN(1+Table1[[#This Row],[Blueness]])</f>
        <v>1.8019112133163806</v>
      </c>
      <c r="Q811">
        <f>LN(1+Table1[[#This Row],[L* lab]])</f>
        <v>4.0258027335085735</v>
      </c>
      <c r="R811">
        <f>LN(1+Table1[[#This Row],[a* lab]]+128)</f>
        <v>4.9611913665911418</v>
      </c>
      <c r="S811">
        <v>5.2434664388904508</v>
      </c>
      <c r="T811">
        <v>3.7255527812190388</v>
      </c>
      <c r="U811">
        <f>LN(1+Table1[[#This Row],[Saturation]])</f>
        <v>4.5863383762097447</v>
      </c>
      <c r="V811">
        <v>4.2522551116332323</v>
      </c>
    </row>
    <row r="812" spans="1:23" x14ac:dyDescent="0.3">
      <c r="A812">
        <v>50</v>
      </c>
      <c r="B812">
        <v>177.19555555229201</v>
      </c>
      <c r="C812">
        <v>120.714995092008</v>
      </c>
      <c r="D812">
        <v>4.0822202542541897</v>
      </c>
      <c r="E812">
        <v>55.059134075697997</v>
      </c>
      <c r="F812">
        <v>14.084125905336601</v>
      </c>
      <c r="G812">
        <v>60.556587508862997</v>
      </c>
      <c r="H812">
        <v>40.424190766224299</v>
      </c>
      <c r="I812">
        <v>97.696206182186401</v>
      </c>
      <c r="J812">
        <v>69.488453157761896</v>
      </c>
      <c r="K812" t="s">
        <v>2</v>
      </c>
      <c r="L812">
        <v>0.80500000000000005</v>
      </c>
      <c r="M812">
        <v>0</v>
      </c>
      <c r="N812">
        <f>LN(1+Table1[[#This Row],[Redness]])</f>
        <v>5.1828815739416871</v>
      </c>
      <c r="O812">
        <f>LN(1+Table1[[#This Row],[Greeness]])</f>
        <v>4.8016822059777411</v>
      </c>
      <c r="P812">
        <f>LN(1+Table1[[#This Row],[Blueness]])</f>
        <v>1.6257482240324488</v>
      </c>
      <c r="Q812">
        <f>LN(1+Table1[[#This Row],[L* lab]])</f>
        <v>4.0264070992330785</v>
      </c>
      <c r="R812">
        <f>LN(1+Table1[[#This Row],[a* lab]]+128)</f>
        <v>4.9634327503277031</v>
      </c>
      <c r="S812">
        <v>5.244687594768445</v>
      </c>
      <c r="T812">
        <v>3.7238650282087047</v>
      </c>
      <c r="U812">
        <f>LN(1+Table1[[#This Row],[Saturation]])</f>
        <v>4.5920465078302302</v>
      </c>
      <c r="V812">
        <v>4.2554489114077105</v>
      </c>
    </row>
    <row r="813" spans="1:23" x14ac:dyDescent="0.3">
      <c r="A813">
        <v>50</v>
      </c>
      <c r="B813">
        <v>175.73402221898601</v>
      </c>
      <c r="C813">
        <v>118.73399553723</v>
      </c>
      <c r="D813">
        <v>2.7469388621349098</v>
      </c>
      <c r="E813">
        <v>54.383226310363298</v>
      </c>
      <c r="F813">
        <v>14.512931832382799</v>
      </c>
      <c r="G813">
        <v>60.259355921247703</v>
      </c>
      <c r="H813">
        <v>40.229728517647203</v>
      </c>
      <c r="I813">
        <v>98.436877033001593</v>
      </c>
      <c r="J813">
        <v>68.915302830975094</v>
      </c>
      <c r="K813" t="s">
        <v>2</v>
      </c>
      <c r="L813">
        <v>0.80500000000000005</v>
      </c>
      <c r="M813">
        <v>0</v>
      </c>
      <c r="N813">
        <f>LN(1+Table1[[#This Row],[Redness]])</f>
        <v>5.1746459030610712</v>
      </c>
      <c r="O813">
        <f>LN(1+Table1[[#This Row],[Greeness]])</f>
        <v>4.785272578400793</v>
      </c>
      <c r="P813">
        <f>LN(1+Table1[[#This Row],[Blueness]])</f>
        <v>1.3209392031945573</v>
      </c>
      <c r="Q813">
        <f>LN(1+Table1[[#This Row],[L* lab]])</f>
        <v>4.0142767737267135</v>
      </c>
      <c r="R813">
        <f>LN(1+Table1[[#This Row],[a* lab]]+128)</f>
        <v>4.9664251484381907</v>
      </c>
      <c r="S813">
        <v>5.2431183279317812</v>
      </c>
      <c r="T813">
        <v>3.7191595621142342</v>
      </c>
      <c r="U813">
        <f>LN(1+Table1[[#This Row],[Saturation]])</f>
        <v>4.5995230411682773</v>
      </c>
      <c r="V813">
        <v>4.2472845498997973</v>
      </c>
    </row>
    <row r="814" spans="1:23" x14ac:dyDescent="0.3">
      <c r="A814">
        <v>50</v>
      </c>
      <c r="B814">
        <v>178.44479999671401</v>
      </c>
      <c r="C814">
        <v>121.523172688152</v>
      </c>
      <c r="D814">
        <v>5.8354256780862199</v>
      </c>
      <c r="E814">
        <v>55.415413390511503</v>
      </c>
      <c r="F814">
        <v>14.221008880716299</v>
      </c>
      <c r="G814">
        <v>60.564226613212703</v>
      </c>
      <c r="H814">
        <v>40.213718681296598</v>
      </c>
      <c r="I814">
        <v>96.7298426862572</v>
      </c>
      <c r="J814">
        <v>69.978352939887898</v>
      </c>
      <c r="K814" t="s">
        <v>2</v>
      </c>
      <c r="L814">
        <v>0.80500000000000005</v>
      </c>
      <c r="M814">
        <v>0</v>
      </c>
      <c r="N814">
        <f>LN(1+Table1[[#This Row],[Redness]])</f>
        <v>5.1898676397244108</v>
      </c>
      <c r="O814">
        <f>LN(1+Table1[[#This Row],[Greeness]])</f>
        <v>4.8083001768966174</v>
      </c>
      <c r="P814">
        <f>LN(1+Table1[[#This Row],[Blueness]])</f>
        <v>1.9221187474006871</v>
      </c>
      <c r="Q814">
        <f>LN(1+Table1[[#This Row],[L* lab]])</f>
        <v>4.0327424082337124</v>
      </c>
      <c r="R814">
        <f>LN(1+Table1[[#This Row],[a* lab]]+128)</f>
        <v>4.9643889538265444</v>
      </c>
      <c r="S814">
        <v>5.2447278938185953</v>
      </c>
      <c r="T814">
        <v>3.7187711786320827</v>
      </c>
      <c r="U814">
        <f>LN(1+Table1[[#This Row],[Saturation]])</f>
        <v>4.5822069646723511</v>
      </c>
      <c r="V814">
        <v>4.2623749423828752</v>
      </c>
    </row>
    <row r="815" spans="1:23" x14ac:dyDescent="0.3">
      <c r="A815">
        <v>50</v>
      </c>
      <c r="B815">
        <v>176.31664444119801</v>
      </c>
      <c r="C815">
        <v>119.886928611446</v>
      </c>
      <c r="D815">
        <v>5.2852379234642202</v>
      </c>
      <c r="E815">
        <v>54.748101376736599</v>
      </c>
      <c r="F815">
        <v>14.165921976427599</v>
      </c>
      <c r="G815">
        <v>60.071756213692701</v>
      </c>
      <c r="H815">
        <v>40.203735566929304</v>
      </c>
      <c r="I815">
        <v>97.002416907255196</v>
      </c>
      <c r="J815">
        <v>69.1437821338031</v>
      </c>
      <c r="K815" t="s">
        <v>2</v>
      </c>
      <c r="L815">
        <v>0.80500000000000005</v>
      </c>
      <c r="M815">
        <v>0</v>
      </c>
      <c r="N815">
        <f>LN(1+Table1[[#This Row],[Redness]])</f>
        <v>5.1779370859508873</v>
      </c>
      <c r="O815">
        <f>LN(1+Table1[[#This Row],[Greeness]])</f>
        <v>4.7948556344178774</v>
      </c>
      <c r="P815">
        <f>LN(1+Table1[[#This Row],[Blueness]])</f>
        <v>1.8382036970877074</v>
      </c>
      <c r="Q815">
        <f>LN(1+Table1[[#This Row],[L* lab]])</f>
        <v>4.0208433537376465</v>
      </c>
      <c r="R815">
        <f>LN(1+Table1[[#This Row],[a* lab]]+128)</f>
        <v>4.9640042511810485</v>
      </c>
      <c r="S815">
        <v>5.2421266055123805</v>
      </c>
      <c r="T815">
        <v>3.7185289213455119</v>
      </c>
      <c r="U815">
        <f>LN(1+Table1[[#This Row],[Saturation]])</f>
        <v>4.5849921406853928</v>
      </c>
      <c r="V815">
        <v>4.2505471658958847</v>
      </c>
    </row>
    <row r="816" spans="1:23" x14ac:dyDescent="0.3">
      <c r="A816">
        <v>50</v>
      </c>
      <c r="B816">
        <v>188.793222218746</v>
      </c>
      <c r="C816">
        <v>129.130570978419</v>
      </c>
      <c r="D816">
        <v>8.3876049860422395</v>
      </c>
      <c r="E816">
        <v>58.550965886039599</v>
      </c>
      <c r="F816">
        <v>14.677912979497</v>
      </c>
      <c r="G816">
        <v>62.925429812015103</v>
      </c>
      <c r="H816">
        <v>40.157164010020303</v>
      </c>
      <c r="I816">
        <v>95.557253121976999</v>
      </c>
      <c r="J816">
        <v>74.036557732841501</v>
      </c>
      <c r="K816" t="s">
        <v>2</v>
      </c>
      <c r="L816" s="3">
        <v>0.80500000000000005</v>
      </c>
      <c r="M816">
        <v>0</v>
      </c>
      <c r="N816">
        <f>LN(1+Table1[[#This Row],[Redness]])</f>
        <v>5.2459351754156875</v>
      </c>
      <c r="O816">
        <f>LN(1+Table1[[#This Row],[Greeness]])</f>
        <v>4.8685383385329706</v>
      </c>
      <c r="P816">
        <f>LN(1+Table1[[#This Row],[Blueness]])</f>
        <v>2.2393902006274229</v>
      </c>
      <c r="Q816">
        <f>LN(1+Table1[[#This Row],[L* lab]])</f>
        <v>4.0868325154185463</v>
      </c>
      <c r="R816">
        <f>LN(1+Table1[[#This Row],[a* lab]]+128)</f>
        <v>4.9675740789716185</v>
      </c>
      <c r="S816">
        <v>5.2571069101904966</v>
      </c>
      <c r="T816">
        <v>3.7173980069890189</v>
      </c>
      <c r="U816">
        <f>LN(1+Table1[[#This Row],[Saturation]])</f>
        <v>4.5701361290148927</v>
      </c>
      <c r="V816">
        <v>4.3179754312156469</v>
      </c>
      <c r="W816" t="s">
        <v>26</v>
      </c>
    </row>
    <row r="817" spans="1:23" x14ac:dyDescent="0.3">
      <c r="A817">
        <v>50</v>
      </c>
      <c r="B817">
        <v>185.65806110769199</v>
      </c>
      <c r="C817">
        <v>126.441232693948</v>
      </c>
      <c r="D817">
        <v>8.5705092485255499</v>
      </c>
      <c r="E817">
        <v>57.508088095839398</v>
      </c>
      <c r="F817">
        <v>14.7680720333266</v>
      </c>
      <c r="G817">
        <v>61.983044448466401</v>
      </c>
      <c r="H817">
        <v>39.936423156099401</v>
      </c>
      <c r="I817">
        <v>95.383712833479294</v>
      </c>
      <c r="J817">
        <v>72.807082787330401</v>
      </c>
      <c r="K817" t="s">
        <v>2</v>
      </c>
      <c r="L817" s="3">
        <v>0.80500000000000005</v>
      </c>
      <c r="M817">
        <v>0</v>
      </c>
      <c r="N817">
        <f>LN(1+Table1[[#This Row],[Redness]])</f>
        <v>5.2292783927895989</v>
      </c>
      <c r="O817">
        <f>LN(1+Table1[[#This Row],[Greeness]])</f>
        <v>4.8476553382947172</v>
      </c>
      <c r="P817">
        <f>LN(1+Table1[[#This Row],[Blueness]])</f>
        <v>2.2586864170611749</v>
      </c>
      <c r="Q817">
        <f>LN(1+Table1[[#This Row],[L* lab]])</f>
        <v>4.0691650027295845</v>
      </c>
      <c r="R817">
        <f>LN(1+Table1[[#This Row],[a* lab]]+128)</f>
        <v>4.9682013902682591</v>
      </c>
      <c r="S817">
        <v>5.2521846515849981</v>
      </c>
      <c r="T817">
        <v>3.7120202084656677</v>
      </c>
      <c r="U817">
        <f>LN(1+Table1[[#This Row],[Saturation]])</f>
        <v>4.5683372333326124</v>
      </c>
      <c r="V817">
        <v>4.3014546997293932</v>
      </c>
      <c r="W817" t="s">
        <v>26</v>
      </c>
    </row>
    <row r="818" spans="1:23" x14ac:dyDescent="0.3">
      <c r="A818">
        <v>100</v>
      </c>
      <c r="B818">
        <v>168.846222219113</v>
      </c>
      <c r="C818">
        <v>115.846196186252</v>
      </c>
      <c r="D818">
        <v>3.8461366198140201</v>
      </c>
      <c r="E818">
        <v>52.821997402676203</v>
      </c>
      <c r="F818">
        <v>13.0207587834084</v>
      </c>
      <c r="G818">
        <v>58.577016009511901</v>
      </c>
      <c r="H818">
        <v>40.727273259152902</v>
      </c>
      <c r="I818">
        <v>97.722106796785198</v>
      </c>
      <c r="J818">
        <v>66.214204791809095</v>
      </c>
      <c r="K818" t="s">
        <v>2</v>
      </c>
      <c r="L818">
        <v>1.61</v>
      </c>
      <c r="M818">
        <v>0</v>
      </c>
      <c r="N818">
        <f>LN(1+Table1[[#This Row],[Redness]])</f>
        <v>5.1348934524935519</v>
      </c>
      <c r="O818">
        <f>LN(1+Table1[[#This Row],[Greeness]])</f>
        <v>4.7608585074918244</v>
      </c>
      <c r="P818">
        <f>LN(1+Table1[[#This Row],[Blueness]])</f>
        <v>1.5781818142821269</v>
      </c>
      <c r="Q818">
        <f>LN(1+Table1[[#This Row],[L* lab]])</f>
        <v>3.9856822572573751</v>
      </c>
      <c r="R818">
        <f>LN(1+Table1[[#This Row],[a* lab]]+128)</f>
        <v>4.9559732355322987</v>
      </c>
      <c r="S818">
        <v>5.2341895131256653</v>
      </c>
      <c r="T818">
        <v>3.7311549500087584</v>
      </c>
      <c r="U818">
        <f>LN(1+Table1[[#This Row],[Saturation]])</f>
        <v>4.5923089010637312</v>
      </c>
      <c r="V818">
        <v>4.2078846060218167</v>
      </c>
    </row>
    <row r="819" spans="1:23" x14ac:dyDescent="0.3">
      <c r="A819">
        <v>100</v>
      </c>
      <c r="B819">
        <v>168.360177774677</v>
      </c>
      <c r="C819">
        <v>115.36015185104399</v>
      </c>
      <c r="D819">
        <v>3.3601029928867501</v>
      </c>
      <c r="E819">
        <v>52.6389452756979</v>
      </c>
      <c r="F819">
        <v>13.065709756801599</v>
      </c>
      <c r="G819">
        <v>58.516019651543303</v>
      </c>
      <c r="H819">
        <v>40.727272035339901</v>
      </c>
      <c r="I819">
        <v>98.004217483433806</v>
      </c>
      <c r="J819">
        <v>66.023599127324601</v>
      </c>
      <c r="K819" t="s">
        <v>2</v>
      </c>
      <c r="L819">
        <v>1.61</v>
      </c>
      <c r="M819">
        <v>0</v>
      </c>
      <c r="N819">
        <f>LN(1+Table1[[#This Row],[Redness]])</f>
        <v>5.1320276765112087</v>
      </c>
      <c r="O819">
        <f>LN(1+Table1[[#This Row],[Greeness]])</f>
        <v>4.7566901386368405</v>
      </c>
      <c r="P819">
        <f>LN(1+Table1[[#This Row],[Blueness]])</f>
        <v>1.4724956793036743</v>
      </c>
      <c r="Q819">
        <f>LN(1+Table1[[#This Row],[L* lab]])</f>
        <v>3.982275395201849</v>
      </c>
      <c r="R819">
        <f>LN(1+Table1[[#This Row],[a* lab]]+128)</f>
        <v>4.956289695334128</v>
      </c>
      <c r="S819">
        <v>5.2338642799023996</v>
      </c>
      <c r="T819">
        <v>3.7311549206799062</v>
      </c>
      <c r="U819">
        <f>LN(1+Table1[[#This Row],[Saturation]])</f>
        <v>4.5951624500699655</v>
      </c>
      <c r="V819">
        <v>4.2050447831549924</v>
      </c>
    </row>
    <row r="820" spans="1:23" x14ac:dyDescent="0.3">
      <c r="A820">
        <v>100</v>
      </c>
      <c r="B820">
        <v>168.19324444134699</v>
      </c>
      <c r="C820">
        <v>115.193218555228</v>
      </c>
      <c r="D820">
        <v>3.1931733748601498</v>
      </c>
      <c r="E820">
        <v>52.576079785801603</v>
      </c>
      <c r="F820">
        <v>13.0811477308914</v>
      </c>
      <c r="G820">
        <v>58.4950299483571</v>
      </c>
      <c r="H820">
        <v>40.727271615017898</v>
      </c>
      <c r="I820">
        <v>98.101485356640595</v>
      </c>
      <c r="J820">
        <v>65.9581350750382</v>
      </c>
      <c r="K820" t="s">
        <v>2</v>
      </c>
      <c r="L820">
        <v>1.61</v>
      </c>
      <c r="M820">
        <v>0</v>
      </c>
      <c r="N820">
        <f>LN(1+Table1[[#This Row],[Redness]])</f>
        <v>5.1310415199054598</v>
      </c>
      <c r="O820">
        <f>LN(1+Table1[[#This Row],[Greeness]])</f>
        <v>4.7552544826048795</v>
      </c>
      <c r="P820">
        <f>LN(1+Table1[[#This Row],[Blueness]])</f>
        <v>1.4334578159768061</v>
      </c>
      <c r="Q820">
        <f>LN(1+Table1[[#This Row],[L* lab]])</f>
        <v>3.9811026958145246</v>
      </c>
      <c r="R820">
        <f>LN(1+Table1[[#This Row],[a* lab]]+128)</f>
        <v>4.956398357272124</v>
      </c>
      <c r="S820">
        <v>5.2337523381170552</v>
      </c>
      <c r="T820">
        <v>3.7311549106068296</v>
      </c>
      <c r="U820">
        <f>LN(1+Table1[[#This Row],[Saturation]])</f>
        <v>4.5961444296861851</v>
      </c>
      <c r="V820">
        <v>4.2040675744647835</v>
      </c>
    </row>
    <row r="821" spans="1:23" x14ac:dyDescent="0.3">
      <c r="A821">
        <v>100</v>
      </c>
      <c r="B821">
        <v>168.13991110801501</v>
      </c>
      <c r="C821">
        <v>115.139885233881</v>
      </c>
      <c r="D821">
        <v>3.1398412285257802</v>
      </c>
      <c r="E821">
        <v>52.556011238244203</v>
      </c>
      <c r="F821">
        <v>13.086077887333101</v>
      </c>
      <c r="G821">
        <v>58.488168379106099</v>
      </c>
      <c r="H821">
        <v>40.727271480729698</v>
      </c>
      <c r="I821">
        <v>98.132602064652701</v>
      </c>
      <c r="J821">
        <v>65.937220042358902</v>
      </c>
      <c r="K821" t="s">
        <v>2</v>
      </c>
      <c r="L821">
        <v>1.61</v>
      </c>
      <c r="M821">
        <v>0</v>
      </c>
      <c r="N821">
        <f>LN(1+Table1[[#This Row],[Redness]])</f>
        <v>5.1307262488012304</v>
      </c>
      <c r="O821">
        <f>LN(1+Table1[[#This Row],[Greeness]])</f>
        <v>4.7547953717729401</v>
      </c>
      <c r="P821">
        <f>LN(1+Table1[[#This Row],[Blueness]])</f>
        <v>1.4206574365041824</v>
      </c>
      <c r="Q821">
        <f>LN(1+Table1[[#This Row],[L* lab]])</f>
        <v>3.9807280452761038</v>
      </c>
      <c r="R821">
        <f>LN(1+Table1[[#This Row],[a* lab]]+128)</f>
        <v>4.9564330562521448</v>
      </c>
      <c r="S821">
        <v>5.2337157414413511</v>
      </c>
      <c r="T821">
        <v>3.7311549073885941</v>
      </c>
      <c r="U821">
        <f>LN(1+Table1[[#This Row],[Saturation]])</f>
        <v>4.5964583687132468</v>
      </c>
      <c r="V821">
        <v>4.2037551658254984</v>
      </c>
    </row>
    <row r="822" spans="1:23" x14ac:dyDescent="0.3">
      <c r="A822">
        <v>100</v>
      </c>
      <c r="B822">
        <v>168.11751110801501</v>
      </c>
      <c r="C822">
        <v>115.11748523891499</v>
      </c>
      <c r="D822">
        <v>3.1174417270653398</v>
      </c>
      <c r="E822">
        <v>52.5475381442632</v>
      </c>
      <c r="F822">
        <v>13.088153136862401</v>
      </c>
      <c r="G822">
        <v>58.4857689221054</v>
      </c>
      <c r="H822">
        <v>40.727271424328698</v>
      </c>
      <c r="I822">
        <v>98.145676969329799</v>
      </c>
      <c r="J822">
        <v>65.928435728633502</v>
      </c>
      <c r="K822" t="s">
        <v>2</v>
      </c>
      <c r="L822">
        <v>1.61</v>
      </c>
      <c r="M822">
        <v>0</v>
      </c>
      <c r="N822">
        <f>LN(1+Table1[[#This Row],[Redness]])</f>
        <v>5.1305938052918698</v>
      </c>
      <c r="O822">
        <f>LN(1+Table1[[#This Row],[Greeness]])</f>
        <v>4.7546024823504016</v>
      </c>
      <c r="P822">
        <f>LN(1+Table1[[#This Row],[Blueness]])</f>
        <v>1.4152320304656467</v>
      </c>
      <c r="Q822">
        <f>LN(1+Table1[[#This Row],[L* lab]])</f>
        <v>3.9805698228073334</v>
      </c>
      <c r="R822">
        <f>LN(1+Table1[[#This Row],[a* lab]]+128)</f>
        <v>4.9564476617251456</v>
      </c>
      <c r="S822">
        <v>5.2337029434478799</v>
      </c>
      <c r="T822">
        <v>3.7311549060369358</v>
      </c>
      <c r="U822">
        <f>LN(1+Table1[[#This Row],[Saturation]])</f>
        <v>4.5965902531007821</v>
      </c>
      <c r="V822">
        <v>4.2036239250873502</v>
      </c>
    </row>
    <row r="823" spans="1:23" x14ac:dyDescent="0.3">
      <c r="A823">
        <v>100</v>
      </c>
      <c r="B823">
        <v>167.98844444135099</v>
      </c>
      <c r="C823">
        <v>114.988418601256</v>
      </c>
      <c r="D823">
        <v>2.9883779329361499</v>
      </c>
      <c r="E823">
        <v>52.498958003298803</v>
      </c>
      <c r="F823">
        <v>13.1000869591685</v>
      </c>
      <c r="G823">
        <v>58.469248704505098</v>
      </c>
      <c r="H823">
        <v>40.727271099351199</v>
      </c>
      <c r="I823">
        <v>98.221081251824103</v>
      </c>
      <c r="J823">
        <v>65.877821349549507</v>
      </c>
      <c r="K823" t="s">
        <v>2</v>
      </c>
      <c r="L823">
        <v>1.61</v>
      </c>
      <c r="M823">
        <v>0</v>
      </c>
      <c r="N823">
        <f>LN(1+Table1[[#This Row],[Redness]])</f>
        <v>5.1298303364986415</v>
      </c>
      <c r="O823">
        <f>LN(1+Table1[[#This Row],[Greeness]])</f>
        <v>4.7534903464777107</v>
      </c>
      <c r="P823">
        <f>LN(1+Table1[[#This Row],[Blueness]])</f>
        <v>1.38338461514608</v>
      </c>
      <c r="Q823">
        <f>LN(1+Table1[[#This Row],[L* lab]])</f>
        <v>3.9796621771384357</v>
      </c>
      <c r="R823">
        <f>LN(1+Table1[[#This Row],[a* lab]]+128)</f>
        <v>4.9565316470604222</v>
      </c>
      <c r="S823">
        <v>5.2336148250505552</v>
      </c>
      <c r="T823">
        <v>3.7311548982488039</v>
      </c>
      <c r="U823">
        <f>LN(1+Table1[[#This Row],[Saturation]])</f>
        <v>4.5973505043324137</v>
      </c>
      <c r="V823">
        <v>4.2028673927307434</v>
      </c>
    </row>
    <row r="824" spans="1:23" x14ac:dyDescent="0.3">
      <c r="A824">
        <v>100</v>
      </c>
      <c r="B824">
        <v>167.707555552467</v>
      </c>
      <c r="C824">
        <v>114.707529775496</v>
      </c>
      <c r="D824">
        <v>2.7074952955751099</v>
      </c>
      <c r="E824">
        <v>52.392954679296103</v>
      </c>
      <c r="F824">
        <v>13.1260860448398</v>
      </c>
      <c r="G824">
        <v>58.436391256263498</v>
      </c>
      <c r="H824">
        <v>40.727270392100003</v>
      </c>
      <c r="I824">
        <v>98.385585380064697</v>
      </c>
      <c r="J824">
        <v>65.767668844104904</v>
      </c>
      <c r="K824" t="s">
        <v>2</v>
      </c>
      <c r="L824">
        <v>1.61</v>
      </c>
      <c r="M824">
        <v>0</v>
      </c>
      <c r="N824">
        <f>LN(1+Table1[[#This Row],[Redness]])</f>
        <v>5.1281667754634643</v>
      </c>
      <c r="O824">
        <f>LN(1+Table1[[#This Row],[Greeness]])</f>
        <v>4.7510657122505133</v>
      </c>
      <c r="P824">
        <f>LN(1+Table1[[#This Row],[Blueness]])</f>
        <v>1.3103565261350412</v>
      </c>
      <c r="Q824">
        <f>LN(1+Table1[[#This Row],[L* lab]])</f>
        <v>3.9776788024173397</v>
      </c>
      <c r="R824">
        <f>LN(1+Table1[[#This Row],[a* lab]]+128)</f>
        <v>4.9567145935179493</v>
      </c>
      <c r="S824">
        <v>5.2334395412200472</v>
      </c>
      <c r="T824">
        <v>3.7311548812994282</v>
      </c>
      <c r="U824">
        <f>LN(1+Table1[[#This Row],[Saturation]])</f>
        <v>4.5990070868495128</v>
      </c>
      <c r="V824">
        <v>4.2012189640373654</v>
      </c>
    </row>
    <row r="825" spans="1:23" x14ac:dyDescent="0.3">
      <c r="A825">
        <v>100</v>
      </c>
      <c r="B825">
        <v>167.59535555246899</v>
      </c>
      <c r="C825">
        <v>114.59532980071199</v>
      </c>
      <c r="D825">
        <v>2.5954977882729202</v>
      </c>
      <c r="E825">
        <v>52.350469181039799</v>
      </c>
      <c r="F825">
        <v>13.1364877788894</v>
      </c>
      <c r="G825">
        <v>58.424859623888501</v>
      </c>
      <c r="H825">
        <v>40.727246749206202</v>
      </c>
      <c r="I825">
        <v>98.451330718731995</v>
      </c>
      <c r="J825">
        <v>65.723668844105703</v>
      </c>
      <c r="K825" t="s">
        <v>2</v>
      </c>
      <c r="L825">
        <v>1.61</v>
      </c>
      <c r="M825">
        <v>0</v>
      </c>
      <c r="N825">
        <f>LN(1+Table1[[#This Row],[Redness]])</f>
        <v>5.1275014980499449</v>
      </c>
      <c r="O825">
        <f>LN(1+Table1[[#This Row],[Greeness]])</f>
        <v>4.7500955557743696</v>
      </c>
      <c r="P825">
        <f>LN(1+Table1[[#This Row],[Blueness]])</f>
        <v>1.2796824484226672</v>
      </c>
      <c r="Q825">
        <f>LN(1+Table1[[#This Row],[L* lab]])</f>
        <v>3.9768827721053395</v>
      </c>
      <c r="R825">
        <f>LN(1+Table1[[#This Row],[a* lab]]+128)</f>
        <v>4.9567877775035463</v>
      </c>
      <c r="S825">
        <v>5.2333780164166619</v>
      </c>
      <c r="T825">
        <v>3.7311543146939377</v>
      </c>
      <c r="U825">
        <f>LN(1+Table1[[#This Row],[Saturation]])</f>
        <v>4.5996683859920786</v>
      </c>
      <c r="V825">
        <v>4.2005597452093184</v>
      </c>
    </row>
    <row r="826" spans="1:23" x14ac:dyDescent="0.3">
      <c r="A826">
        <v>100</v>
      </c>
      <c r="B826">
        <v>167.710911108023</v>
      </c>
      <c r="C826">
        <v>114.503596487995</v>
      </c>
      <c r="D826">
        <v>3.1254193272878599</v>
      </c>
      <c r="E826">
        <v>52.3428628836744</v>
      </c>
      <c r="F826">
        <v>13.249067981842099</v>
      </c>
      <c r="G826">
        <v>58.319524411949899</v>
      </c>
      <c r="H826">
        <v>40.603157406761703</v>
      </c>
      <c r="I826">
        <v>98.136424573309498</v>
      </c>
      <c r="J826">
        <v>65.768984748244307</v>
      </c>
      <c r="K826" t="s">
        <v>2</v>
      </c>
      <c r="L826">
        <v>1.61</v>
      </c>
      <c r="M826">
        <v>0</v>
      </c>
      <c r="N826">
        <f>LN(1+Table1[[#This Row],[Redness]])</f>
        <v>5.12818666504206</v>
      </c>
      <c r="O826">
        <f>LN(1+Table1[[#This Row],[Greeness]])</f>
        <v>4.749301667901257</v>
      </c>
      <c r="P826">
        <f>LN(1+Table1[[#This Row],[Blueness]])</f>
        <v>1.417167669720202</v>
      </c>
      <c r="Q826">
        <f>LN(1+Table1[[#This Row],[L* lab]])</f>
        <v>3.9767401896734085</v>
      </c>
      <c r="R826">
        <f>LN(1+Table1[[#This Row],[a* lab]]+128)</f>
        <v>4.9575795210119855</v>
      </c>
      <c r="S826">
        <v>5.2328158454051668</v>
      </c>
      <c r="T826">
        <v>3.7281760635880214</v>
      </c>
      <c r="U826">
        <f>LN(1+Table1[[#This Row],[Saturation]])</f>
        <v>4.5964969275211658</v>
      </c>
      <c r="V826">
        <v>4.2012386725459141</v>
      </c>
    </row>
    <row r="827" spans="1:23" x14ac:dyDescent="0.3">
      <c r="A827">
        <v>100</v>
      </c>
      <c r="B827">
        <v>167.60782221913601</v>
      </c>
      <c r="C827">
        <v>114.267529874384</v>
      </c>
      <c r="D827">
        <v>3.2886823602539601</v>
      </c>
      <c r="E827">
        <v>52.271083297643202</v>
      </c>
      <c r="F827">
        <v>13.337667331196901</v>
      </c>
      <c r="G827">
        <v>58.231559256386802</v>
      </c>
      <c r="H827">
        <v>40.523160336442601</v>
      </c>
      <c r="I827">
        <v>98.037870597737196</v>
      </c>
      <c r="J827">
        <v>65.728557732994503</v>
      </c>
      <c r="K827" t="s">
        <v>2</v>
      </c>
      <c r="L827">
        <v>1.61</v>
      </c>
      <c r="M827">
        <v>0</v>
      </c>
      <c r="N827">
        <f>LN(1+Table1[[#This Row],[Redness]])</f>
        <v>5.1275754396228272</v>
      </c>
      <c r="O827">
        <f>LN(1+Table1[[#This Row],[Greeness]])</f>
        <v>4.7472557733417959</v>
      </c>
      <c r="P827">
        <f>LN(1+Table1[[#This Row],[Blueness]])</f>
        <v>1.4559795436301763</v>
      </c>
      <c r="Q827">
        <f>LN(1+Table1[[#This Row],[L* lab]])</f>
        <v>3.9753936567019204</v>
      </c>
      <c r="R827">
        <f>LN(1+Table1[[#This Row],[a* lab]]+128)</f>
        <v>4.9582021737306361</v>
      </c>
      <c r="S827">
        <v>5.2323461356058045</v>
      </c>
      <c r="T827">
        <v>3.72625135196391</v>
      </c>
      <c r="U827">
        <f>LN(1+Table1[[#This Row],[Saturation]])</f>
        <v>4.5955023082784239</v>
      </c>
      <c r="V827">
        <v>4.2006330132096572</v>
      </c>
    </row>
    <row r="828" spans="1:23" x14ac:dyDescent="0.3">
      <c r="A828">
        <v>100</v>
      </c>
      <c r="B828">
        <v>167.39431110802801</v>
      </c>
      <c r="C828">
        <v>114.050463256502</v>
      </c>
      <c r="D828">
        <v>3.0824869494886902</v>
      </c>
      <c r="E828">
        <v>52.1895976867469</v>
      </c>
      <c r="F828">
        <v>13.3596689570167</v>
      </c>
      <c r="G828">
        <v>58.204207986297597</v>
      </c>
      <c r="H828">
        <v>40.520994837210303</v>
      </c>
      <c r="I828">
        <v>98.158547366941605</v>
      </c>
      <c r="J828">
        <v>65.644827885501499</v>
      </c>
      <c r="K828" t="s">
        <v>2</v>
      </c>
      <c r="L828">
        <v>1.61</v>
      </c>
      <c r="M828">
        <v>0</v>
      </c>
      <c r="N828">
        <f>LN(1+Table1[[#This Row],[Redness]])</f>
        <v>5.1263083192187651</v>
      </c>
      <c r="O828">
        <f>LN(1+Table1[[#This Row],[Greeness]])</f>
        <v>4.7453708430399955</v>
      </c>
      <c r="P828">
        <f>LN(1+Table1[[#This Row],[Blueness]])</f>
        <v>1.4067063491614005</v>
      </c>
      <c r="Q828">
        <f>LN(1+Table1[[#This Row],[L* lab]])</f>
        <v>3.9738628450246796</v>
      </c>
      <c r="R828">
        <f>LN(1+Table1[[#This Row],[a* lab]]+128)</f>
        <v>4.9583567352460367</v>
      </c>
      <c r="S828">
        <v>5.2322000423501347</v>
      </c>
      <c r="T828">
        <v>3.7261991990043608</v>
      </c>
      <c r="U828">
        <f>LN(1+Table1[[#This Row],[Saturation]])</f>
        <v>4.5967200576742648</v>
      </c>
      <c r="V828">
        <v>4.1993774424958383</v>
      </c>
    </row>
    <row r="829" spans="1:23" x14ac:dyDescent="0.3">
      <c r="A829">
        <v>100</v>
      </c>
      <c r="B829">
        <v>167.42613333025</v>
      </c>
      <c r="C829">
        <v>114.085129915378</v>
      </c>
      <c r="D829">
        <v>3.1869512911211402</v>
      </c>
      <c r="E829">
        <v>52.2024396531191</v>
      </c>
      <c r="F829">
        <v>13.356275101887</v>
      </c>
      <c r="G829">
        <v>58.194549328861598</v>
      </c>
      <c r="H829">
        <v>40.513418508563603</v>
      </c>
      <c r="I829">
        <v>98.096503080056905</v>
      </c>
      <c r="J829">
        <v>65.657307188333505</v>
      </c>
      <c r="K829" t="s">
        <v>2</v>
      </c>
      <c r="L829">
        <v>1.61</v>
      </c>
      <c r="M829">
        <v>0</v>
      </c>
      <c r="N829">
        <f>LN(1+Table1[[#This Row],[Redness]])</f>
        <v>5.1264972758147325</v>
      </c>
      <c r="O829">
        <f>LN(1+Table1[[#This Row],[Greeness]])</f>
        <v>4.7456721146395813</v>
      </c>
      <c r="P829">
        <f>LN(1+Table1[[#This Row],[Blueness]])</f>
        <v>1.4319728536092093</v>
      </c>
      <c r="Q829">
        <f>LN(1+Table1[[#This Row],[L* lab]])</f>
        <v>3.9741042534374826</v>
      </c>
      <c r="R829">
        <f>LN(1+Table1[[#This Row],[a* lab]]+128)</f>
        <v>4.9583328949574916</v>
      </c>
      <c r="S829">
        <v>5.2321484467865842</v>
      </c>
      <c r="T829">
        <v>3.7260167125300798</v>
      </c>
      <c r="U829">
        <f>LN(1+Table1[[#This Row],[Saturation]])</f>
        <v>4.5960941539328939</v>
      </c>
      <c r="V829">
        <v>4.1995646758490253</v>
      </c>
    </row>
    <row r="830" spans="1:23" x14ac:dyDescent="0.3">
      <c r="A830">
        <v>100</v>
      </c>
      <c r="B830">
        <v>167.482488885805</v>
      </c>
      <c r="C830">
        <v>113.882463294259</v>
      </c>
      <c r="D830">
        <v>3.6831180258519498</v>
      </c>
      <c r="E830">
        <v>52.159324183950901</v>
      </c>
      <c r="F830">
        <v>13.5036322880112</v>
      </c>
      <c r="G830">
        <v>58.071845236125696</v>
      </c>
      <c r="H830">
        <v>40.366215580630197</v>
      </c>
      <c r="I830">
        <v>97.800893663358906</v>
      </c>
      <c r="J830">
        <v>65.679407406197996</v>
      </c>
      <c r="K830" t="s">
        <v>2</v>
      </c>
      <c r="L830">
        <v>1.61</v>
      </c>
      <c r="M830">
        <v>0</v>
      </c>
      <c r="N830">
        <f>LN(1+Table1[[#This Row],[Redness]])</f>
        <v>5.126831820865613</v>
      </c>
      <c r="O830">
        <f>LN(1+Table1[[#This Row],[Greeness]])</f>
        <v>4.7439095473947086</v>
      </c>
      <c r="P830">
        <f>LN(1+Table1[[#This Row],[Blueness]])</f>
        <v>1.543964132927151</v>
      </c>
      <c r="Q830">
        <f>LN(1+Table1[[#This Row],[L* lab]])</f>
        <v>3.9732935208964948</v>
      </c>
      <c r="R830">
        <f>LN(1+Table1[[#This Row],[a* lab]]+128)</f>
        <v>4.9593674891242765</v>
      </c>
      <c r="S830">
        <v>5.2314927421926685</v>
      </c>
      <c r="T830">
        <v>3.7224644989051607</v>
      </c>
      <c r="U830">
        <f>LN(1+Table1[[#This Row],[Saturation]])</f>
        <v>4.5931066498886119</v>
      </c>
      <c r="V830">
        <v>4.1998961707134983</v>
      </c>
    </row>
    <row r="831" spans="1:23" x14ac:dyDescent="0.3">
      <c r="A831">
        <v>100</v>
      </c>
      <c r="B831">
        <v>182.80110277441099</v>
      </c>
      <c r="C831">
        <v>118.959653819848</v>
      </c>
      <c r="D831">
        <v>7.24916087963613</v>
      </c>
      <c r="E831">
        <v>55.320837984280701</v>
      </c>
      <c r="F831">
        <v>17.623034029627899</v>
      </c>
      <c r="G831">
        <v>60.506380704215701</v>
      </c>
      <c r="H831">
        <v>38.1803214710676</v>
      </c>
      <c r="I831">
        <v>96.034399809621405</v>
      </c>
      <c r="J831">
        <v>71.686706970357605</v>
      </c>
      <c r="K831" t="s">
        <v>2</v>
      </c>
      <c r="L831" s="3">
        <v>1.61</v>
      </c>
      <c r="M831">
        <v>0</v>
      </c>
      <c r="N831">
        <f>LN(1+Table1[[#This Row],[Redness]])</f>
        <v>5.2138542097643654</v>
      </c>
      <c r="O831">
        <f>LN(1+Table1[[#This Row],[Greeness]])</f>
        <v>4.7871554680801118</v>
      </c>
      <c r="P831">
        <f>LN(1+Table1[[#This Row],[Blueness]])</f>
        <v>2.1101114836143613</v>
      </c>
      <c r="Q831">
        <f>LN(1+Table1[[#This Row],[L* lab]])</f>
        <v>4.0310645907213525</v>
      </c>
      <c r="R831">
        <f>LN(1+Table1[[#This Row],[a* lab]]+128)</f>
        <v>4.9878648987311687</v>
      </c>
      <c r="S831">
        <v>5.2444226952179687</v>
      </c>
      <c r="T831">
        <v>3.6681746174614887</v>
      </c>
      <c r="U831">
        <f>LN(1+Table1[[#This Row],[Saturation]])</f>
        <v>4.5750655528470618</v>
      </c>
      <c r="V831">
        <v>4.2861585200953103</v>
      </c>
      <c r="W831" t="s">
        <v>26</v>
      </c>
    </row>
    <row r="832" spans="1:23" x14ac:dyDescent="0.3">
      <c r="A832">
        <v>100</v>
      </c>
      <c r="B832">
        <v>178.641844441155</v>
      </c>
      <c r="C832">
        <v>114.343685412824</v>
      </c>
      <c r="D832">
        <v>7.0731092424135902</v>
      </c>
      <c r="E832">
        <v>53.674592031165197</v>
      </c>
      <c r="F832">
        <v>18.332901570747701</v>
      </c>
      <c r="G832">
        <v>59.137974621572802</v>
      </c>
      <c r="H832">
        <v>37.514029364202202</v>
      </c>
      <c r="I832">
        <v>96.040620122043407</v>
      </c>
      <c r="J832">
        <v>70.055625271041194</v>
      </c>
      <c r="K832" t="s">
        <v>2</v>
      </c>
      <c r="L832" s="3">
        <v>1.61</v>
      </c>
      <c r="M832">
        <v>0</v>
      </c>
      <c r="N832">
        <f>LN(1+Table1[[#This Row],[Redness]])</f>
        <v>5.1909651155969936</v>
      </c>
      <c r="O832">
        <f>LN(1+Table1[[#This Row],[Greeness]])</f>
        <v>4.7479162402762727</v>
      </c>
      <c r="P832">
        <f>LN(1+Table1[[#This Row],[Blueness]])</f>
        <v>2.0885386921451308</v>
      </c>
      <c r="Q832">
        <f>LN(1+Table1[[#This Row],[L* lab]])</f>
        <v>4.0013991048279092</v>
      </c>
      <c r="R832">
        <f>LN(1+Table1[[#This Row],[a* lab]]+128)</f>
        <v>4.9926946628900071</v>
      </c>
      <c r="S832">
        <v>5.2371756012130453</v>
      </c>
      <c r="T832">
        <v>3.651022573986709</v>
      </c>
      <c r="U832">
        <f>LN(1+Table1[[#This Row],[Saturation]])</f>
        <v>4.5751296549909268</v>
      </c>
      <c r="V832">
        <v>4.2634630248227294</v>
      </c>
      <c r="W832" t="s">
        <v>26</v>
      </c>
    </row>
    <row r="833" spans="1:23" x14ac:dyDescent="0.3">
      <c r="A833">
        <v>100</v>
      </c>
      <c r="B833">
        <v>175.03775277455401</v>
      </c>
      <c r="C833">
        <v>110.570572371927</v>
      </c>
      <c r="D833">
        <v>6.9394649946747498</v>
      </c>
      <c r="E833">
        <v>52.295710041134498</v>
      </c>
      <c r="F833">
        <v>18.828290953503799</v>
      </c>
      <c r="G833">
        <v>57.9852635040479</v>
      </c>
      <c r="H833">
        <v>36.989469225155197</v>
      </c>
      <c r="I833">
        <v>96.035446705252895</v>
      </c>
      <c r="J833">
        <v>68.642255990021496</v>
      </c>
      <c r="K833" t="s">
        <v>2</v>
      </c>
      <c r="L833" s="3">
        <v>1.61</v>
      </c>
      <c r="M833">
        <v>0</v>
      </c>
      <c r="N833">
        <f>LN(1+Table1[[#This Row],[Redness]])</f>
        <v>5.1706984764362476</v>
      </c>
      <c r="O833">
        <f>LN(1+Table1[[#This Row],[Greeness]])</f>
        <v>4.7146573267517127</v>
      </c>
      <c r="P833">
        <f>LN(1+Table1[[#This Row],[Blueness]])</f>
        <v>2.0718458919655101</v>
      </c>
      <c r="Q833">
        <f>LN(1+Table1[[#This Row],[L* lab]])</f>
        <v>3.97585584089942</v>
      </c>
      <c r="R833">
        <f>LN(1+Table1[[#This Row],[a* lab]]+128)</f>
        <v>4.9960514039553088</v>
      </c>
      <c r="S833">
        <v>5.2310298089581382</v>
      </c>
      <c r="T833">
        <v>3.6373089956661655</v>
      </c>
      <c r="U833">
        <f>LN(1+Table1[[#This Row],[Saturation]])</f>
        <v>4.5750763417011813</v>
      </c>
      <c r="V833">
        <v>4.2433715094071802</v>
      </c>
      <c r="W833" t="s">
        <v>26</v>
      </c>
    </row>
    <row r="834" spans="1:23" x14ac:dyDescent="0.3">
      <c r="A834">
        <v>200</v>
      </c>
      <c r="B834">
        <v>167.78079999690999</v>
      </c>
      <c r="C834">
        <v>115.065574139471</v>
      </c>
      <c r="D834">
        <v>8.4741225048899906</v>
      </c>
      <c r="E834">
        <v>52.506355704903903</v>
      </c>
      <c r="F834">
        <v>13.0426093164742</v>
      </c>
      <c r="G834">
        <v>57.410654430244797</v>
      </c>
      <c r="H834">
        <v>40.145756591999799</v>
      </c>
      <c r="I834">
        <v>94.949289486612201</v>
      </c>
      <c r="J834">
        <v>65.796392155651205</v>
      </c>
      <c r="K834" t="s">
        <v>2</v>
      </c>
      <c r="L834">
        <v>3.22</v>
      </c>
      <c r="M834">
        <v>0</v>
      </c>
      <c r="N834">
        <f>LN(1+Table1[[#This Row],[Redness]])</f>
        <v>5.128600831598372</v>
      </c>
      <c r="O834">
        <f>LN(1+Table1[[#This Row],[Greeness]])</f>
        <v>4.7541553256935121</v>
      </c>
      <c r="P834">
        <f>LN(1+Table1[[#This Row],[Blueness]])</f>
        <v>2.2485641350586598</v>
      </c>
      <c r="Q834">
        <f>LN(1+Table1[[#This Row],[L* lab]])</f>
        <v>3.9798004450685136</v>
      </c>
      <c r="R834">
        <f>LN(1+Table1[[#This Row],[a* lab]]+128)</f>
        <v>4.956127078199553</v>
      </c>
      <c r="S834">
        <v>5.22795205957852</v>
      </c>
      <c r="T834">
        <v>3.7171208013197643</v>
      </c>
      <c r="U834">
        <f>LN(1+Table1[[#This Row],[Saturation]])</f>
        <v>4.5638198173883779</v>
      </c>
      <c r="V834">
        <v>4.2016490694380861</v>
      </c>
    </row>
    <row r="835" spans="1:23" x14ac:dyDescent="0.3">
      <c r="A835">
        <v>200</v>
      </c>
      <c r="B835">
        <v>165.79197777472501</v>
      </c>
      <c r="C835">
        <v>111.76404154814399</v>
      </c>
      <c r="D835">
        <v>3.60303091943983</v>
      </c>
      <c r="E835">
        <v>51.416211975287901</v>
      </c>
      <c r="F835">
        <v>13.927280007849699</v>
      </c>
      <c r="G835">
        <v>57.488068267486803</v>
      </c>
      <c r="H835">
        <v>40.012964900208203</v>
      </c>
      <c r="I835">
        <v>97.826776079397703</v>
      </c>
      <c r="J835">
        <v>65.016461872441198</v>
      </c>
      <c r="K835" t="s">
        <v>2</v>
      </c>
      <c r="L835">
        <v>3.22</v>
      </c>
      <c r="M835">
        <v>0</v>
      </c>
      <c r="N835">
        <f>LN(1+Table1[[#This Row],[Redness]])</f>
        <v>5.1167473938923012</v>
      </c>
      <c r="O835">
        <f>LN(1+Table1[[#This Row],[Greeness]])</f>
        <v>4.725297507641061</v>
      </c>
      <c r="P835">
        <f>LN(1+Table1[[#This Row],[Blueness]])</f>
        <v>1.5267149820490917</v>
      </c>
      <c r="Q835">
        <f>LN(1+Table1[[#This Row],[L* lab]])</f>
        <v>3.9592159323175107</v>
      </c>
      <c r="R835">
        <f>LN(1+Table1[[#This Row],[a* lab]]+128)</f>
        <v>4.9623359695003169</v>
      </c>
      <c r="S835">
        <v>5.2283672599192137</v>
      </c>
      <c r="T835">
        <v>3.7138882337964736</v>
      </c>
      <c r="U835">
        <f>LN(1+Table1[[#This Row],[Saturation]])</f>
        <v>4.5933685809858158</v>
      </c>
      <c r="V835">
        <v>4.1899041332355678</v>
      </c>
    </row>
    <row r="836" spans="1:23" x14ac:dyDescent="0.3">
      <c r="A836">
        <v>200</v>
      </c>
      <c r="B836">
        <v>162.50791110811801</v>
      </c>
      <c r="C836">
        <v>108.507886724396</v>
      </c>
      <c r="D836">
        <v>1.1341747569834</v>
      </c>
      <c r="E836">
        <v>50.1822040120623</v>
      </c>
      <c r="F836">
        <v>14.2320259502022</v>
      </c>
      <c r="G836">
        <v>56.952646378982301</v>
      </c>
      <c r="H836">
        <v>39.922374382078097</v>
      </c>
      <c r="I836">
        <v>99.302080280738494</v>
      </c>
      <c r="J836">
        <v>63.728592591419101</v>
      </c>
      <c r="K836" t="s">
        <v>2</v>
      </c>
      <c r="L836">
        <v>3.22</v>
      </c>
      <c r="M836">
        <v>0</v>
      </c>
      <c r="N836">
        <f>LN(1+Table1[[#This Row],[Redness]])</f>
        <v>5.0968613751491176</v>
      </c>
      <c r="O836">
        <f>LN(1+Table1[[#This Row],[Greeness]])</f>
        <v>4.6959965715432173</v>
      </c>
      <c r="P836">
        <f>LN(1+Table1[[#This Row],[Blueness]])</f>
        <v>0.75808004127141437</v>
      </c>
      <c r="Q836">
        <f>LN(1+Table1[[#This Row],[L* lab]])</f>
        <v>3.9353918937368588</v>
      </c>
      <c r="R836">
        <f>LN(1+Table1[[#This Row],[a* lab]]+128)</f>
        <v>4.9644658744253984</v>
      </c>
      <c r="S836">
        <v>5.2254920519395185</v>
      </c>
      <c r="T836">
        <v>3.7116769643775123</v>
      </c>
      <c r="U836">
        <f>LN(1+Table1[[#This Row],[Saturation]])</f>
        <v>4.6081864353384345</v>
      </c>
      <c r="V836">
        <v>4.1702030295652728</v>
      </c>
    </row>
    <row r="837" spans="1:23" x14ac:dyDescent="0.3">
      <c r="A837">
        <v>200</v>
      </c>
      <c r="B837">
        <v>166.17404444138401</v>
      </c>
      <c r="C837">
        <v>113.391085626917</v>
      </c>
      <c r="D837">
        <v>8.6076306445470401</v>
      </c>
      <c r="E837">
        <v>51.886978699963599</v>
      </c>
      <c r="F837">
        <v>13.2576913793208</v>
      </c>
      <c r="G837">
        <v>56.845147172838502</v>
      </c>
      <c r="H837">
        <v>39.900681544028302</v>
      </c>
      <c r="I837">
        <v>94.820111243315594</v>
      </c>
      <c r="J837">
        <v>65.166291937797894</v>
      </c>
      <c r="K837" t="s">
        <v>2</v>
      </c>
      <c r="L837">
        <v>3.22</v>
      </c>
      <c r="M837">
        <v>0</v>
      </c>
      <c r="N837">
        <f>LN(1+Table1[[#This Row],[Redness]])</f>
        <v>5.1190354520055603</v>
      </c>
      <c r="O837">
        <f>LN(1+Table1[[#This Row],[Greeness]])</f>
        <v>4.7396231530679209</v>
      </c>
      <c r="P837">
        <f>LN(1+Table1[[#This Row],[Blueness]])</f>
        <v>2.2625576415478101</v>
      </c>
      <c r="Q837">
        <f>LN(1+Table1[[#This Row],[L* lab]])</f>
        <v>3.9681571592254703</v>
      </c>
      <c r="R837">
        <f>LN(1+Table1[[#This Row],[a* lab]]+128)</f>
        <v>4.9576401409951503</v>
      </c>
      <c r="S837">
        <v>5.2249137848760565</v>
      </c>
      <c r="T837">
        <v>3.7111467265780922</v>
      </c>
      <c r="U837">
        <f>LN(1+Table1[[#This Row],[Saturation]])</f>
        <v>4.5624725924156424</v>
      </c>
      <c r="V837">
        <v>4.1921711480345021</v>
      </c>
    </row>
    <row r="838" spans="1:23" x14ac:dyDescent="0.3">
      <c r="A838">
        <v>200</v>
      </c>
      <c r="B838">
        <v>162.71306666366999</v>
      </c>
      <c r="C838">
        <v>108.71304223384401</v>
      </c>
      <c r="D838">
        <v>2.1005532485622802</v>
      </c>
      <c r="E838">
        <v>50.261988389278997</v>
      </c>
      <c r="F838">
        <v>14.224578931486599</v>
      </c>
      <c r="G838">
        <v>56.814203232665697</v>
      </c>
      <c r="H838">
        <v>39.827216467152297</v>
      </c>
      <c r="I838">
        <v>98.7090445213572</v>
      </c>
      <c r="J838">
        <v>63.809045750459099</v>
      </c>
      <c r="K838" t="s">
        <v>2</v>
      </c>
      <c r="L838">
        <v>3.22</v>
      </c>
      <c r="M838">
        <v>0</v>
      </c>
      <c r="N838">
        <f>LN(1+Table1[[#This Row],[Redness]])</f>
        <v>5.0981153019836993</v>
      </c>
      <c r="O838">
        <f>LN(1+Table1[[#This Row],[Greeness]])</f>
        <v>4.6978682502220215</v>
      </c>
      <c r="P838">
        <f>LN(1+Table1[[#This Row],[Blueness]])</f>
        <v>1.1315805628458653</v>
      </c>
      <c r="Q838">
        <f>LN(1+Table1[[#This Row],[L* lab]])</f>
        <v>3.936949510454359</v>
      </c>
      <c r="R838">
        <f>LN(1+Table1[[#This Row],[a* lab]]+128)</f>
        <v>4.9644138803809925</v>
      </c>
      <c r="S838">
        <v>5.2247472671215025</v>
      </c>
      <c r="T838">
        <v>3.7093489292909774</v>
      </c>
      <c r="U838">
        <f>LN(1+Table1[[#This Row],[Saturation]])</f>
        <v>4.6022563902188907</v>
      </c>
      <c r="V838">
        <v>4.1714451885302575</v>
      </c>
    </row>
    <row r="839" spans="1:23" x14ac:dyDescent="0.3">
      <c r="A839">
        <v>200</v>
      </c>
      <c r="B839">
        <v>164.869155552519</v>
      </c>
      <c r="C839">
        <v>111.066641704882</v>
      </c>
      <c r="D839">
        <v>5.10126424033826</v>
      </c>
      <c r="E839">
        <v>51.1302943684422</v>
      </c>
      <c r="F839">
        <v>13.9231961987673</v>
      </c>
      <c r="G839">
        <v>56.934337102004299</v>
      </c>
      <c r="H839">
        <v>39.794745963376599</v>
      </c>
      <c r="I839">
        <v>96.905871068943895</v>
      </c>
      <c r="J839">
        <v>64.654570804909696</v>
      </c>
      <c r="K839" t="s">
        <v>2</v>
      </c>
      <c r="L839">
        <v>3.22</v>
      </c>
      <c r="M839">
        <v>0</v>
      </c>
      <c r="N839">
        <f>LN(1+Table1[[#This Row],[Redness]])</f>
        <v>5.1111992579850307</v>
      </c>
      <c r="O839">
        <f>LN(1+Table1[[#This Row],[Greeness]])</f>
        <v>4.7190937095658869</v>
      </c>
      <c r="P839">
        <f>LN(1+Table1[[#This Row],[Blueness]])</f>
        <v>1.808496002219899</v>
      </c>
      <c r="Q839">
        <f>LN(1+Table1[[#This Row],[L* lab]])</f>
        <v>3.9537462455786159</v>
      </c>
      <c r="R839">
        <f>LN(1+Table1[[#This Row],[a* lab]]+128)</f>
        <v>4.9623073964565574</v>
      </c>
      <c r="S839">
        <v>5.2253935850514255</v>
      </c>
      <c r="T839">
        <v>3.7085532977104152</v>
      </c>
      <c r="U839">
        <f>LN(1+Table1[[#This Row],[Saturation]])</f>
        <v>4.5840065177990468</v>
      </c>
      <c r="V839">
        <v>4.1844072221623403</v>
      </c>
    </row>
    <row r="840" spans="1:23" x14ac:dyDescent="0.3">
      <c r="A840">
        <v>200</v>
      </c>
      <c r="B840">
        <v>165.98293333027701</v>
      </c>
      <c r="C840">
        <v>111.982908165621</v>
      </c>
      <c r="D840">
        <v>5.9828001757902101</v>
      </c>
      <c r="E840">
        <v>51.501654127283103</v>
      </c>
      <c r="F840">
        <v>13.926630396251999</v>
      </c>
      <c r="G840">
        <v>57.070186674157597</v>
      </c>
      <c r="H840">
        <v>39.750007415612799</v>
      </c>
      <c r="I840">
        <v>96.395532928746604</v>
      </c>
      <c r="J840">
        <v>65.091346404030205</v>
      </c>
      <c r="K840" t="s">
        <v>2</v>
      </c>
      <c r="L840">
        <v>3.22</v>
      </c>
      <c r="M840">
        <v>0</v>
      </c>
      <c r="N840">
        <f>LN(1+Table1[[#This Row],[Redness]])</f>
        <v>5.1178916115673427</v>
      </c>
      <c r="O840">
        <f>LN(1+Table1[[#This Row],[Greeness]])</f>
        <v>4.7272365521006279</v>
      </c>
      <c r="P840">
        <f>LN(1+Table1[[#This Row],[Blueness]])</f>
        <v>1.9434500076432322</v>
      </c>
      <c r="Q840">
        <f>LN(1+Table1[[#This Row],[L* lab]])</f>
        <v>3.9608446762875817</v>
      </c>
      <c r="R840">
        <f>LN(1+Table1[[#This Row],[a* lab]]+128)</f>
        <v>4.9623314244402419</v>
      </c>
      <c r="S840">
        <v>5.2261239502459835</v>
      </c>
      <c r="T840">
        <v>3.7074560216650831</v>
      </c>
      <c r="U840">
        <f>LN(1+Table1[[#This Row],[Saturation]])</f>
        <v>4.5787803464421906</v>
      </c>
      <c r="V840">
        <v>4.19103782155553</v>
      </c>
    </row>
    <row r="841" spans="1:23" x14ac:dyDescent="0.3">
      <c r="A841">
        <v>200</v>
      </c>
      <c r="B841">
        <v>166.21066666360599</v>
      </c>
      <c r="C841">
        <v>112.145930351205</v>
      </c>
      <c r="D841">
        <v>6.0796869082976501</v>
      </c>
      <c r="E841">
        <v>51.571139594003498</v>
      </c>
      <c r="F841">
        <v>13.939732901972899</v>
      </c>
      <c r="G841">
        <v>57.114155851951402</v>
      </c>
      <c r="H841">
        <v>39.742307305551101</v>
      </c>
      <c r="I841">
        <v>96.342180059597297</v>
      </c>
      <c r="J841">
        <v>65.180653593571094</v>
      </c>
      <c r="K841" t="s">
        <v>2</v>
      </c>
      <c r="L841">
        <v>3.22</v>
      </c>
      <c r="M841">
        <v>0</v>
      </c>
      <c r="N841">
        <f>LN(1+Table1[[#This Row],[Redness]])</f>
        <v>5.1192544944506979</v>
      </c>
      <c r="O841">
        <f>LN(1+Table1[[#This Row],[Greeness]])</f>
        <v>4.7286784045852208</v>
      </c>
      <c r="P841">
        <f>LN(1+Table1[[#This Row],[Blueness]])</f>
        <v>1.95722968473595</v>
      </c>
      <c r="Q841">
        <f>LN(1+Table1[[#This Row],[L* lab]])</f>
        <v>3.9621672922453155</v>
      </c>
      <c r="R841">
        <f>LN(1+Table1[[#This Row],[a* lab]]+128)</f>
        <v>4.9624230931876863</v>
      </c>
      <c r="S841">
        <v>5.226360226590657</v>
      </c>
      <c r="T841">
        <v>3.7072670440882169</v>
      </c>
      <c r="U841">
        <f>LN(1+Table1[[#This Row],[Saturation]])</f>
        <v>4.5782324004930928</v>
      </c>
      <c r="V841">
        <v>4.1923881784430534</v>
      </c>
    </row>
    <row r="842" spans="1:23" x14ac:dyDescent="0.3">
      <c r="A842">
        <v>200</v>
      </c>
      <c r="B842">
        <v>178.077580552276</v>
      </c>
      <c r="C842">
        <v>120.007109139992</v>
      </c>
      <c r="D842">
        <v>6.3304507715595504</v>
      </c>
      <c r="E842">
        <v>54.993855005430497</v>
      </c>
      <c r="F842">
        <v>14.9085826483002</v>
      </c>
      <c r="G842">
        <v>60.1699147206023</v>
      </c>
      <c r="H842">
        <v>39.713033404484499</v>
      </c>
      <c r="I842">
        <v>96.445116363369905</v>
      </c>
      <c r="J842">
        <v>69.834345314618304</v>
      </c>
      <c r="K842" t="s">
        <v>2</v>
      </c>
      <c r="L842">
        <v>3.22</v>
      </c>
      <c r="M842">
        <v>0</v>
      </c>
      <c r="N842">
        <f>LN(1+Table1[[#This Row],[Redness]])</f>
        <v>5.1878191228519475</v>
      </c>
      <c r="O842">
        <f>LN(1+Table1[[#This Row],[Greeness]])</f>
        <v>4.7958492970939126</v>
      </c>
      <c r="P842">
        <f>LN(1+Table1[[#This Row],[Blueness]])</f>
        <v>1.9920370108098309</v>
      </c>
      <c r="Q842">
        <f>LN(1+Table1[[#This Row],[L* lab]])</f>
        <v>4.0252419526682637</v>
      </c>
      <c r="R842">
        <f>LN(1+Table1[[#This Row],[a* lab]]+128)</f>
        <v>4.9691782552578969</v>
      </c>
      <c r="S842">
        <v>5.2426456308692151</v>
      </c>
      <c r="T842">
        <v>3.7065482722539396</v>
      </c>
      <c r="U842">
        <f>LN(1+Table1[[#This Row],[Saturation]])</f>
        <v>4.5792893104173551</v>
      </c>
      <c r="V842">
        <v>4.2603439863889179</v>
      </c>
      <c r="W842" t="s">
        <v>26</v>
      </c>
    </row>
    <row r="843" spans="1:23" x14ac:dyDescent="0.3">
      <c r="A843">
        <v>200</v>
      </c>
      <c r="B843">
        <v>164.97635555251699</v>
      </c>
      <c r="C843">
        <v>110.742908444306</v>
      </c>
      <c r="D843">
        <v>4.5805647182936502</v>
      </c>
      <c r="E843">
        <v>51.061067391652898</v>
      </c>
      <c r="F843">
        <v>14.147095530183799</v>
      </c>
      <c r="G843">
        <v>56.992211509418397</v>
      </c>
      <c r="H843">
        <v>39.712642024030202</v>
      </c>
      <c r="I843">
        <v>97.223502299494299</v>
      </c>
      <c r="J843">
        <v>64.696610020595202</v>
      </c>
      <c r="K843" t="s">
        <v>2</v>
      </c>
      <c r="L843">
        <v>3.22</v>
      </c>
      <c r="M843">
        <v>0</v>
      </c>
      <c r="N843">
        <f>LN(1+Table1[[#This Row],[Redness]])</f>
        <v>5.1118453417808913</v>
      </c>
      <c r="O843">
        <f>LN(1+Table1[[#This Row],[Greeness]])</f>
        <v>4.7162007723687083</v>
      </c>
      <c r="P843">
        <f>LN(1+Table1[[#This Row],[Blueness]])</f>
        <v>1.7192899752677187</v>
      </c>
      <c r="Q843">
        <f>LN(1+Table1[[#This Row],[L* lab]])</f>
        <v>3.9524174024613603</v>
      </c>
      <c r="R843">
        <f>LN(1+Table1[[#This Row],[a* lab]]+128)</f>
        <v>4.9638727416434465</v>
      </c>
      <c r="S843">
        <v>5.2257047992311998</v>
      </c>
      <c r="T843">
        <v>3.7065386590587837</v>
      </c>
      <c r="U843">
        <f>LN(1+Table1[[#This Row],[Saturation]])</f>
        <v>4.5872455176774167</v>
      </c>
      <c r="V843">
        <v>4.1850473262993066</v>
      </c>
    </row>
    <row r="844" spans="1:23" x14ac:dyDescent="0.3">
      <c r="A844">
        <v>200</v>
      </c>
      <c r="B844">
        <v>163.87022221920401</v>
      </c>
      <c r="C844">
        <v>109.747886445711</v>
      </c>
      <c r="D844">
        <v>3.88340245706517</v>
      </c>
      <c r="E844">
        <v>50.671515083560699</v>
      </c>
      <c r="F844">
        <v>14.1946420995453</v>
      </c>
      <c r="G844">
        <v>56.793652129860703</v>
      </c>
      <c r="H844">
        <v>39.702452044252297</v>
      </c>
      <c r="I844">
        <v>97.630196380724698</v>
      </c>
      <c r="J844">
        <v>64.262832242825397</v>
      </c>
      <c r="K844" t="s">
        <v>2</v>
      </c>
      <c r="L844">
        <v>3.22</v>
      </c>
      <c r="M844">
        <v>0</v>
      </c>
      <c r="N844">
        <f>LN(1+Table1[[#This Row],[Redness]])</f>
        <v>5.1051586324171723</v>
      </c>
      <c r="O844">
        <f>LN(1+Table1[[#This Row],[Greeness]])</f>
        <v>4.707256324731504</v>
      </c>
      <c r="P844">
        <f>LN(1+Table1[[#This Row],[Blueness]])</f>
        <v>1.5858422017251954</v>
      </c>
      <c r="Q844">
        <f>LN(1+Table1[[#This Row],[L* lab]])</f>
        <v>3.9449066641753903</v>
      </c>
      <c r="R844">
        <f>LN(1+Table1[[#This Row],[a* lab]]+128)</f>
        <v>4.9642048383205992</v>
      </c>
      <c r="S844">
        <v>5.2246366607253814</v>
      </c>
      <c r="T844">
        <v>3.7062883374213103</v>
      </c>
      <c r="U844">
        <f>LN(1+Table1[[#This Row],[Saturation]])</f>
        <v>4.5913774660490327</v>
      </c>
      <c r="V844">
        <v>4.1784226895925176</v>
      </c>
    </row>
    <row r="845" spans="1:23" x14ac:dyDescent="0.3">
      <c r="A845">
        <v>200</v>
      </c>
      <c r="B845">
        <v>164.35004444141799</v>
      </c>
      <c r="C845">
        <v>110.18930856872601</v>
      </c>
      <c r="D845">
        <v>4.64505217190296</v>
      </c>
      <c r="E845">
        <v>50.844195773945998</v>
      </c>
      <c r="F845">
        <v>14.1755944241152</v>
      </c>
      <c r="G845">
        <v>56.7853974971651</v>
      </c>
      <c r="H845">
        <v>39.652206820952102</v>
      </c>
      <c r="I845">
        <v>97.173683653271695</v>
      </c>
      <c r="J845">
        <v>64.450997820164005</v>
      </c>
      <c r="K845" t="s">
        <v>2</v>
      </c>
      <c r="L845">
        <v>3.22</v>
      </c>
      <c r="M845">
        <v>0</v>
      </c>
      <c r="N845">
        <f>LN(1+Table1[[#This Row],[Redness]])</f>
        <v>5.1080647081995707</v>
      </c>
      <c r="O845">
        <f>LN(1+Table1[[#This Row],[Greeness]])</f>
        <v>4.7112342312294686</v>
      </c>
      <c r="P845">
        <f>LN(1+Table1[[#This Row],[Blueness]])</f>
        <v>1.7307794397029312</v>
      </c>
      <c r="Q845">
        <f>LN(1+Table1[[#This Row],[L* lab]])</f>
        <v>3.9482429857662122</v>
      </c>
      <c r="R845">
        <f>LN(1+Table1[[#This Row],[a* lab]]+128)</f>
        <v>4.9640718100025074</v>
      </c>
      <c r="S845">
        <v>5.2245922307032622</v>
      </c>
      <c r="T845">
        <v>3.7050531228585664</v>
      </c>
      <c r="U845">
        <f>LN(1+Table1[[#This Row],[Saturation]])</f>
        <v>4.5867381922078643</v>
      </c>
      <c r="V845">
        <v>4.1813017377731425</v>
      </c>
    </row>
    <row r="846" spans="1:23" x14ac:dyDescent="0.3">
      <c r="A846">
        <v>200</v>
      </c>
      <c r="B846">
        <v>164.86559999696399</v>
      </c>
      <c r="C846">
        <v>110.612241807006</v>
      </c>
      <c r="D846">
        <v>5.3721471002616097</v>
      </c>
      <c r="E846">
        <v>51.0167948128625</v>
      </c>
      <c r="F846">
        <v>14.182654046636699</v>
      </c>
      <c r="G846">
        <v>56.786204024393498</v>
      </c>
      <c r="H846">
        <v>39.590375452554099</v>
      </c>
      <c r="I846">
        <v>96.741499075391999</v>
      </c>
      <c r="J846">
        <v>64.653176469397806</v>
      </c>
      <c r="K846" t="s">
        <v>2</v>
      </c>
      <c r="L846">
        <v>3.22</v>
      </c>
      <c r="M846">
        <v>0</v>
      </c>
      <c r="N846">
        <f>LN(1+Table1[[#This Row],[Redness]])</f>
        <v>5.1111778218497106</v>
      </c>
      <c r="O846">
        <f>LN(1+Table1[[#This Row],[Greeness]])</f>
        <v>4.7150307375424712</v>
      </c>
      <c r="P846">
        <f>LN(1+Table1[[#This Row],[Blueness]])</f>
        <v>1.8519364771959033</v>
      </c>
      <c r="Q846">
        <f>LN(1+Table1[[#This Row],[L* lab]])</f>
        <v>3.9515666436059615</v>
      </c>
      <c r="R846">
        <f>LN(1+Table1[[#This Row],[a* lab]]+128)</f>
        <v>4.9641211162303573</v>
      </c>
      <c r="S846">
        <v>5.2245965718704834</v>
      </c>
      <c r="T846">
        <v>3.7035309806861765</v>
      </c>
      <c r="U846">
        <f>LN(1+Table1[[#This Row],[Saturation]])</f>
        <v>4.5823262291030709</v>
      </c>
      <c r="V846">
        <v>4.1843859844891504</v>
      </c>
    </row>
    <row r="847" spans="1:23" x14ac:dyDescent="0.3">
      <c r="A847">
        <v>200</v>
      </c>
      <c r="B847">
        <v>165.883733330279</v>
      </c>
      <c r="C847">
        <v>111.991263719299</v>
      </c>
      <c r="D847">
        <v>7.7344056352321999</v>
      </c>
      <c r="E847">
        <v>51.495736008122002</v>
      </c>
      <c r="F847">
        <v>13.9035070107632</v>
      </c>
      <c r="G847">
        <v>56.7259844534086</v>
      </c>
      <c r="H847">
        <v>39.553829132338102</v>
      </c>
      <c r="I847">
        <v>95.337453841943102</v>
      </c>
      <c r="J847">
        <v>65.0524444432466</v>
      </c>
      <c r="K847" t="s">
        <v>2</v>
      </c>
      <c r="L847">
        <v>3.22</v>
      </c>
      <c r="M847">
        <v>0</v>
      </c>
      <c r="N847">
        <f>LN(1+Table1[[#This Row],[Redness]])</f>
        <v>5.1172973623485785</v>
      </c>
      <c r="O847">
        <f>LN(1+Table1[[#This Row],[Greeness]])</f>
        <v>4.727310503505004</v>
      </c>
      <c r="P847">
        <f>LN(1+Table1[[#This Row],[Blueness]])</f>
        <v>2.1672698972219431</v>
      </c>
      <c r="Q847">
        <f>LN(1+Table1[[#This Row],[L* lab]])</f>
        <v>3.9607319474062308</v>
      </c>
      <c r="R847">
        <f>LN(1+Table1[[#This Row],[a* lab]]+128)</f>
        <v>4.9621696263475075</v>
      </c>
      <c r="S847">
        <v>5.2242723856209876</v>
      </c>
      <c r="T847">
        <v>3.7026302060005638</v>
      </c>
      <c r="U847">
        <f>LN(1+Table1[[#This Row],[Saturation]])</f>
        <v>4.5678571719753407</v>
      </c>
      <c r="V847">
        <v>4.1904490392652995</v>
      </c>
    </row>
    <row r="848" spans="1:23" x14ac:dyDescent="0.3">
      <c r="A848">
        <v>200</v>
      </c>
      <c r="B848">
        <v>176.19575277453299</v>
      </c>
      <c r="C848">
        <v>115.126393570247</v>
      </c>
      <c r="D848">
        <v>6.1022002961122404</v>
      </c>
      <c r="E848">
        <v>53.553437890427801</v>
      </c>
      <c r="F848">
        <v>16.788542246646699</v>
      </c>
      <c r="G848">
        <v>59.101095311205398</v>
      </c>
      <c r="H848">
        <v>38.457963286280098</v>
      </c>
      <c r="I848">
        <v>96.536692740873903</v>
      </c>
      <c r="J848">
        <v>69.096373637071906</v>
      </c>
      <c r="K848" t="s">
        <v>2</v>
      </c>
      <c r="L848">
        <v>3.22</v>
      </c>
      <c r="M848">
        <v>0</v>
      </c>
      <c r="N848">
        <f>LN(1+Table1[[#This Row],[Redness]])</f>
        <v>5.1772550693427206</v>
      </c>
      <c r="O848">
        <f>LN(1+Table1[[#This Row],[Greeness]])</f>
        <v>4.7546791976669214</v>
      </c>
      <c r="P848">
        <f>LN(1+Table1[[#This Row],[Blueness]])</f>
        <v>1.9604046368987953</v>
      </c>
      <c r="Q848">
        <f>LN(1+Table1[[#This Row],[L* lab]])</f>
        <v>3.999180733032512</v>
      </c>
      <c r="R848">
        <f>LN(1+Table1[[#This Row],[a* lab]]+128)</f>
        <v>4.9821572310726161</v>
      </c>
      <c r="S848">
        <v>5.2369795593161097</v>
      </c>
      <c r="T848">
        <v>3.6752358846217414</v>
      </c>
      <c r="U848">
        <f>LN(1+Table1[[#This Row],[Saturation]])</f>
        <v>4.580228643011079</v>
      </c>
      <c r="V848">
        <v>4.2498710614195812</v>
      </c>
      <c r="W848" t="s">
        <v>26</v>
      </c>
    </row>
    <row r="849" spans="1:23" x14ac:dyDescent="0.3">
      <c r="A849">
        <v>200</v>
      </c>
      <c r="B849">
        <v>173.696011107912</v>
      </c>
      <c r="C849">
        <v>112.83740797357601</v>
      </c>
      <c r="D849">
        <v>5.8643361457449803</v>
      </c>
      <c r="E849">
        <v>52.676240086932502</v>
      </c>
      <c r="F849">
        <v>16.941336337147401</v>
      </c>
      <c r="G849">
        <v>58.380848262575</v>
      </c>
      <c r="H849">
        <v>38.242985486003697</v>
      </c>
      <c r="I849">
        <v>96.623793426032293</v>
      </c>
      <c r="J849">
        <v>68.116082787416801</v>
      </c>
      <c r="K849" t="s">
        <v>2</v>
      </c>
      <c r="L849">
        <v>3.22</v>
      </c>
      <c r="M849">
        <v>0</v>
      </c>
      <c r="N849">
        <f>LN(1+Table1[[#This Row],[Redness]])</f>
        <v>5.1630473840683022</v>
      </c>
      <c r="O849">
        <f>LN(1+Table1[[#This Row],[Greeness]])</f>
        <v>4.73477118449195</v>
      </c>
      <c r="P849">
        <f>LN(1+Table1[[#This Row],[Blueness]])</f>
        <v>1.9263393332687522</v>
      </c>
      <c r="Q849">
        <f>LN(1+Table1[[#This Row],[L* lab]])</f>
        <v>3.9829704471203637</v>
      </c>
      <c r="R849">
        <f>LN(1+Table1[[#This Row],[a* lab]]+128)</f>
        <v>4.9832047350527624</v>
      </c>
      <c r="S849">
        <v>5.2331431674771194</v>
      </c>
      <c r="T849">
        <v>3.6697727145248256</v>
      </c>
      <c r="U849">
        <f>LN(1+Table1[[#This Row],[Saturation]])</f>
        <v>4.5811212488110771</v>
      </c>
      <c r="V849">
        <v>4.2357874502540938</v>
      </c>
      <c r="W849" t="s">
        <v>26</v>
      </c>
    </row>
    <row r="850" spans="1:23" x14ac:dyDescent="0.3">
      <c r="A850">
        <v>300</v>
      </c>
      <c r="B850">
        <v>166.46755555249001</v>
      </c>
      <c r="C850">
        <v>112.636774685334</v>
      </c>
      <c r="D850">
        <v>10.1215525051588</v>
      </c>
      <c r="E850">
        <v>51.736166993075003</v>
      </c>
      <c r="F850">
        <v>13.8415707861265</v>
      </c>
      <c r="G850">
        <v>56.450212945264198</v>
      </c>
      <c r="H850">
        <v>39.341673026002603</v>
      </c>
      <c r="I850">
        <v>93.919804690129297</v>
      </c>
      <c r="J850">
        <v>65.281394334309894</v>
      </c>
      <c r="K850" t="s">
        <v>2</v>
      </c>
      <c r="L850">
        <v>4.83</v>
      </c>
      <c r="M850">
        <v>0</v>
      </c>
      <c r="N850">
        <f>LN(1+Table1[[#This Row],[Redness]])</f>
        <v>5.1207896343091139</v>
      </c>
      <c r="O850">
        <f>LN(1+Table1[[#This Row],[Greeness]])</f>
        <v>4.7330071747223732</v>
      </c>
      <c r="P850">
        <f>LN(1+Table1[[#This Row],[Blueness]])</f>
        <v>2.4088848928506139</v>
      </c>
      <c r="Q850">
        <f>LN(1+Table1[[#This Row],[L* lab]])</f>
        <v>3.9653015008679113</v>
      </c>
      <c r="R850">
        <f>LN(1+Table1[[#This Row],[a* lab]]+128)</f>
        <v>4.961736119488287</v>
      </c>
      <c r="S850">
        <v>5.2227864521973517</v>
      </c>
      <c r="T850">
        <v>3.6973850047945525</v>
      </c>
      <c r="U850">
        <f>LN(1+Table1[[#This Row],[Saturation]])</f>
        <v>4.5530323739393319</v>
      </c>
      <c r="V850">
        <v>4.1939092293665059</v>
      </c>
      <c r="W850" t="s">
        <v>26</v>
      </c>
    </row>
    <row r="851" spans="1:23" x14ac:dyDescent="0.3">
      <c r="A851">
        <v>300</v>
      </c>
      <c r="B851">
        <v>163.495644441434</v>
      </c>
      <c r="C851">
        <v>108.901531080371</v>
      </c>
      <c r="D851">
        <v>10.9838888679304</v>
      </c>
      <c r="E851">
        <v>50.428419179591401</v>
      </c>
      <c r="F851">
        <v>14.617045543279399</v>
      </c>
      <c r="G851">
        <v>55.123919142320297</v>
      </c>
      <c r="H851">
        <v>38.522004488466699</v>
      </c>
      <c r="I851">
        <v>93.281846188957601</v>
      </c>
      <c r="J851">
        <v>64.115938996640807</v>
      </c>
      <c r="K851" t="s">
        <v>2</v>
      </c>
      <c r="L851">
        <v>4.83</v>
      </c>
      <c r="M851">
        <v>0</v>
      </c>
      <c r="N851">
        <f>LN(1+Table1[[#This Row],[Redness]])</f>
        <v>5.1028840922952181</v>
      </c>
      <c r="O851">
        <f>LN(1+Table1[[#This Row],[Greeness]])</f>
        <v>4.6995847928900663</v>
      </c>
      <c r="P851">
        <f>LN(1+Table1[[#This Row],[Blueness]])</f>
        <v>2.4835631533615721</v>
      </c>
      <c r="Q851">
        <f>LN(1+Table1[[#This Row],[L* lab]])</f>
        <v>3.9401909219936266</v>
      </c>
      <c r="R851">
        <f>LN(1+Table1[[#This Row],[a* lab]]+128)</f>
        <v>4.9671503511245225</v>
      </c>
      <c r="S851">
        <v>5.2156090045269785</v>
      </c>
      <c r="T851">
        <v>3.6768575924554194</v>
      </c>
      <c r="U851">
        <f>LN(1+Table1[[#This Row],[Saturation]])</f>
        <v>4.5462886598549668</v>
      </c>
      <c r="V851">
        <v>4.1761693579045076</v>
      </c>
      <c r="W851" t="s">
        <v>26</v>
      </c>
    </row>
    <row r="852" spans="1:23" x14ac:dyDescent="0.3">
      <c r="A852">
        <v>300</v>
      </c>
      <c r="B852">
        <v>169.30115555243799</v>
      </c>
      <c r="C852">
        <v>110.488864056957</v>
      </c>
      <c r="D852">
        <v>6.1678405018428499</v>
      </c>
      <c r="E852">
        <v>51.540993218695498</v>
      </c>
      <c r="F852">
        <v>16.282718715343499</v>
      </c>
      <c r="G852">
        <v>57.279453868609203</v>
      </c>
      <c r="H852">
        <v>38.368995391073803</v>
      </c>
      <c r="I852">
        <v>96.356882218720301</v>
      </c>
      <c r="J852">
        <v>66.392610020564007</v>
      </c>
      <c r="K852" t="s">
        <v>2</v>
      </c>
      <c r="L852">
        <v>4.83</v>
      </c>
      <c r="M852">
        <v>0</v>
      </c>
      <c r="N852">
        <f>LN(1+Table1[[#This Row],[Redness]])</f>
        <v>5.1375683730386807</v>
      </c>
      <c r="O852">
        <f>LN(1+Table1[[#This Row],[Greeness]])</f>
        <v>4.7139247119838039</v>
      </c>
      <c r="P852">
        <f>LN(1+Table1[[#This Row],[Blueness]])</f>
        <v>1.9696044240080497</v>
      </c>
      <c r="Q852">
        <f>LN(1+Table1[[#This Row],[L* lab]])</f>
        <v>3.9615936881269729</v>
      </c>
      <c r="R852">
        <f>LN(1+Table1[[#This Row],[a* lab]]+128)</f>
        <v>4.9786816283022208</v>
      </c>
      <c r="S852">
        <v>5.2272479863330332</v>
      </c>
      <c r="T852">
        <v>3.6729785875123193</v>
      </c>
      <c r="U852">
        <f>LN(1+Table1[[#This Row],[Saturation]])</f>
        <v>4.5783834249405553</v>
      </c>
      <c r="V852">
        <v>4.210535368295151</v>
      </c>
    </row>
    <row r="853" spans="1:23" x14ac:dyDescent="0.3">
      <c r="A853">
        <v>300</v>
      </c>
      <c r="B853">
        <v>166.77991110804001</v>
      </c>
      <c r="C853">
        <v>107.77988688801101</v>
      </c>
      <c r="D853">
        <v>4.4279903363220496</v>
      </c>
      <c r="E853">
        <v>50.548400927932299</v>
      </c>
      <c r="F853">
        <v>16.642022090832199</v>
      </c>
      <c r="G853">
        <v>56.770002545433201</v>
      </c>
      <c r="H853">
        <v>38.195506179570899</v>
      </c>
      <c r="I853">
        <v>97.345009775515706</v>
      </c>
      <c r="J853">
        <v>65.403886709035305</v>
      </c>
      <c r="K853" t="s">
        <v>2</v>
      </c>
      <c r="L853">
        <v>4.83</v>
      </c>
      <c r="M853">
        <v>0</v>
      </c>
      <c r="N853">
        <f>LN(1+Table1[[#This Row],[Redness]])</f>
        <v>5.1226530676053965</v>
      </c>
      <c r="O853">
        <f>LN(1+Table1[[#This Row],[Greeness]])</f>
        <v>4.6893264541708781</v>
      </c>
      <c r="P853">
        <f>LN(1+Table1[[#This Row],[Blueness]])</f>
        <v>1.6915689616324325</v>
      </c>
      <c r="Q853">
        <f>LN(1+Table1[[#This Row],[L* lab]])</f>
        <v>3.9425211901551185</v>
      </c>
      <c r="R853">
        <f>LN(1+Table1[[#This Row],[a* lab]]+128)</f>
        <v>4.9811517073830007</v>
      </c>
      <c r="S853">
        <v>5.2245093631053807</v>
      </c>
      <c r="T853">
        <v>3.6685621019486949</v>
      </c>
      <c r="U853">
        <f>LN(1+Table1[[#This Row],[Saturation]])</f>
        <v>4.5884818041020816</v>
      </c>
      <c r="V853">
        <v>4.1957555895439231</v>
      </c>
    </row>
    <row r="854" spans="1:23" x14ac:dyDescent="0.3">
      <c r="A854">
        <v>300</v>
      </c>
      <c r="B854">
        <v>168.668622219116</v>
      </c>
      <c r="C854">
        <v>109.66859757464201</v>
      </c>
      <c r="D854">
        <v>7.6684515475986901</v>
      </c>
      <c r="E854">
        <v>51.264455282041098</v>
      </c>
      <c r="F854">
        <v>16.4795290181025</v>
      </c>
      <c r="G854">
        <v>56.721925445923802</v>
      </c>
      <c r="H854">
        <v>38.012436484362702</v>
      </c>
      <c r="I854">
        <v>95.453539937240507</v>
      </c>
      <c r="J854">
        <v>66.144557732986797</v>
      </c>
      <c r="K854" t="s">
        <v>2</v>
      </c>
      <c r="L854">
        <v>4.83</v>
      </c>
      <c r="M854">
        <v>0</v>
      </c>
      <c r="N854">
        <f>LN(1+Table1[[#This Row],[Redness]])</f>
        <v>5.1338472536653974</v>
      </c>
      <c r="O854">
        <f>LN(1+Table1[[#This Row],[Greeness]])</f>
        <v>4.7065401280597978</v>
      </c>
      <c r="P854">
        <f>LN(1+Table1[[#This Row],[Blueness]])</f>
        <v>2.1596901759488842</v>
      </c>
      <c r="Q854">
        <f>LN(1+Table1[[#This Row],[L* lab]])</f>
        <v>3.956316508698293</v>
      </c>
      <c r="R854">
        <f>LN(1+Table1[[#This Row],[a* lab]]+128)</f>
        <v>4.9800353826795538</v>
      </c>
      <c r="S854">
        <v>5.2242505305647233</v>
      </c>
      <c r="T854">
        <v>3.66388047951131</v>
      </c>
      <c r="U854">
        <f>LN(1+Table1[[#This Row],[Saturation]])</f>
        <v>4.5690614409824297</v>
      </c>
      <c r="V854">
        <v>4.2068478732661454</v>
      </c>
    </row>
    <row r="855" spans="1:23" x14ac:dyDescent="0.3">
      <c r="A855">
        <v>300</v>
      </c>
      <c r="B855">
        <v>168.34986666356599</v>
      </c>
      <c r="C855">
        <v>109.349842090726</v>
      </c>
      <c r="D855">
        <v>7.3497030863402397</v>
      </c>
      <c r="E855">
        <v>51.144499283547702</v>
      </c>
      <c r="F855">
        <v>16.510325730028399</v>
      </c>
      <c r="G855">
        <v>56.679881050109401</v>
      </c>
      <c r="H855">
        <v>38.012435542200997</v>
      </c>
      <c r="I855">
        <v>95.634268543242698</v>
      </c>
      <c r="J855">
        <v>66.019555554339902</v>
      </c>
      <c r="K855" t="s">
        <v>2</v>
      </c>
      <c r="L855">
        <v>4.83</v>
      </c>
      <c r="M855">
        <v>0</v>
      </c>
      <c r="N855">
        <f>LN(1+Table1[[#This Row],[Redness]])</f>
        <v>5.1319667919210792</v>
      </c>
      <c r="O855">
        <f>LN(1+Table1[[#This Row],[Greeness]])</f>
        <v>4.703655701716003</v>
      </c>
      <c r="P855">
        <f>LN(1+Table1[[#This Row],[Blueness]])</f>
        <v>2.1222259797084178</v>
      </c>
      <c r="Q855">
        <f>LN(1+Table1[[#This Row],[L* lab]])</f>
        <v>3.9540186971404148</v>
      </c>
      <c r="R855">
        <f>LN(1+Table1[[#This Row],[a* lab]]+128)</f>
        <v>4.9802470513101831</v>
      </c>
      <c r="S855">
        <v>5.2240241213482976</v>
      </c>
      <c r="T855">
        <v>3.663880455361018</v>
      </c>
      <c r="U855">
        <f>LN(1+Table1[[#This Row],[Saturation]])</f>
        <v>4.570933425135153</v>
      </c>
      <c r="V855">
        <v>4.2049844507494241</v>
      </c>
    </row>
    <row r="856" spans="1:23" x14ac:dyDescent="0.3">
      <c r="A856">
        <v>300</v>
      </c>
      <c r="B856">
        <v>167.70773333024499</v>
      </c>
      <c r="C856">
        <v>108.707708901709</v>
      </c>
      <c r="D856">
        <v>6.7075840444743697</v>
      </c>
      <c r="E856">
        <v>50.902484210982898</v>
      </c>
      <c r="F856">
        <v>16.572406817478999</v>
      </c>
      <c r="G856">
        <v>56.5993010543867</v>
      </c>
      <c r="H856">
        <v>38.0124336442152</v>
      </c>
      <c r="I856">
        <v>96.000432471849095</v>
      </c>
      <c r="J856">
        <v>65.767738560880503</v>
      </c>
      <c r="K856" t="s">
        <v>2</v>
      </c>
      <c r="L856">
        <v>4.83</v>
      </c>
      <c r="M856">
        <v>0</v>
      </c>
      <c r="N856">
        <f>LN(1+Table1[[#This Row],[Redness]])</f>
        <v>5.1281678292258981</v>
      </c>
      <c r="O856">
        <f>LN(1+Table1[[#This Row],[Greeness]])</f>
        <v>4.6978196373892933</v>
      </c>
      <c r="P856">
        <f>LN(1+Table1[[#This Row],[Blueness]])</f>
        <v>2.0422047849645</v>
      </c>
      <c r="Q856">
        <f>LN(1+Table1[[#This Row],[L* lab]])</f>
        <v>3.9493666543631916</v>
      </c>
      <c r="R856">
        <f>LN(1+Table1[[#This Row],[a* lab]]+128)</f>
        <v>4.9806736041863955</v>
      </c>
      <c r="S856">
        <v>5.223590054474248</v>
      </c>
      <c r="T856">
        <v>3.6638804067102275</v>
      </c>
      <c r="U856">
        <f>LN(1+Table1[[#This Row],[Saturation]])</f>
        <v>4.5747154369661152</v>
      </c>
      <c r="V856">
        <v>4.2012200082065032</v>
      </c>
    </row>
    <row r="857" spans="1:23" x14ac:dyDescent="0.3">
      <c r="A857">
        <v>300</v>
      </c>
      <c r="B857">
        <v>166.96284444137001</v>
      </c>
      <c r="C857">
        <v>107.96282018023101</v>
      </c>
      <c r="D857">
        <v>5.9627117340042597</v>
      </c>
      <c r="E857">
        <v>50.621469427813899</v>
      </c>
      <c r="F857">
        <v>16.644450719775101</v>
      </c>
      <c r="G857">
        <v>56.509008618599204</v>
      </c>
      <c r="H857">
        <v>38.012431442509197</v>
      </c>
      <c r="I857">
        <v>96.428719363308304</v>
      </c>
      <c r="J857">
        <v>65.475625271125494</v>
      </c>
      <c r="K857" t="s">
        <v>2</v>
      </c>
      <c r="L857">
        <v>4.83</v>
      </c>
      <c r="M857">
        <v>0</v>
      </c>
      <c r="N857">
        <f>LN(1+Table1[[#This Row],[Redness]])</f>
        <v>5.1237427909034219</v>
      </c>
      <c r="O857">
        <f>LN(1+Table1[[#This Row],[Greeness]])</f>
        <v>4.6910067247776217</v>
      </c>
      <c r="P857">
        <f>LN(1+Table1[[#This Row],[Blueness]])</f>
        <v>1.9405690154199866</v>
      </c>
      <c r="Q857">
        <f>LN(1+Table1[[#This Row],[L* lab]])</f>
        <v>3.9439376601350968</v>
      </c>
      <c r="R857">
        <f>LN(1+Table1[[#This Row],[a* lab]]+128)</f>
        <v>4.9811683825750857</v>
      </c>
      <c r="S857">
        <v>5.2231034448499649</v>
      </c>
      <c r="T857">
        <v>3.6638803502742183</v>
      </c>
      <c r="U857">
        <f>LN(1+Table1[[#This Row],[Saturation]])</f>
        <v>4.5791210271787239</v>
      </c>
      <c r="V857">
        <v>4.1968353431942935</v>
      </c>
    </row>
    <row r="858" spans="1:23" x14ac:dyDescent="0.3">
      <c r="A858">
        <v>300</v>
      </c>
      <c r="B858">
        <v>165.70524444139301</v>
      </c>
      <c r="C858">
        <v>106.70522046287201</v>
      </c>
      <c r="D858">
        <v>4.7051397234396903</v>
      </c>
      <c r="E858">
        <v>50.145896881594098</v>
      </c>
      <c r="F858">
        <v>16.7661832366921</v>
      </c>
      <c r="G858">
        <v>56.3706906171168</v>
      </c>
      <c r="H858">
        <v>38.012427725355799</v>
      </c>
      <c r="I858">
        <v>97.160536626766898</v>
      </c>
      <c r="J858">
        <v>64.982448800546393</v>
      </c>
      <c r="K858" t="s">
        <v>2</v>
      </c>
      <c r="L858">
        <v>4.83</v>
      </c>
      <c r="M858">
        <v>0</v>
      </c>
      <c r="N858">
        <f>LN(1+Table1[[#This Row],[Redness]])</f>
        <v>5.1162272496181682</v>
      </c>
      <c r="O858">
        <f>LN(1+Table1[[#This Row],[Greeness]])</f>
        <v>4.6793980552519647</v>
      </c>
      <c r="P858">
        <f>LN(1+Table1[[#This Row],[Blueness]])</f>
        <v>1.741367474414601</v>
      </c>
      <c r="Q858">
        <f>LN(1+Table1[[#This Row],[L* lab]])</f>
        <v>3.9346822718114112</v>
      </c>
      <c r="R858">
        <f>LN(1+Table1[[#This Row],[a* lab]]+128)</f>
        <v>4.9820038532807702</v>
      </c>
      <c r="S858">
        <v>5.2223575533483251</v>
      </c>
      <c r="T858">
        <v>3.6638802549929594</v>
      </c>
      <c r="U858">
        <f>LN(1+Table1[[#This Row],[Saturation]])</f>
        <v>4.5866042672455665</v>
      </c>
      <c r="V858">
        <v>4.1893887793970519</v>
      </c>
    </row>
    <row r="859" spans="1:23" x14ac:dyDescent="0.3">
      <c r="A859">
        <v>300</v>
      </c>
      <c r="B859">
        <v>164.41617777475</v>
      </c>
      <c r="C859">
        <v>105.416154085917</v>
      </c>
      <c r="D859">
        <v>3.4161017465378398</v>
      </c>
      <c r="E859">
        <v>49.658742358072303</v>
      </c>
      <c r="F859">
        <v>16.8909352443914</v>
      </c>
      <c r="G859">
        <v>56.224873843340603</v>
      </c>
      <c r="H859">
        <v>38.012423915193502</v>
      </c>
      <c r="I859">
        <v>97.922283687181903</v>
      </c>
      <c r="J859">
        <v>64.476932460686399</v>
      </c>
      <c r="K859" t="s">
        <v>2</v>
      </c>
      <c r="L859">
        <v>4.83</v>
      </c>
      <c r="M859">
        <v>0</v>
      </c>
      <c r="N859">
        <f>LN(1+Table1[[#This Row],[Redness]])</f>
        <v>5.1084645878110386</v>
      </c>
      <c r="O859">
        <f>LN(1+Table1[[#This Row],[Greeness]])</f>
        <v>4.6673573894991902</v>
      </c>
      <c r="P859">
        <f>LN(1+Table1[[#This Row],[Blueness]])</f>
        <v>1.4852573491391321</v>
      </c>
      <c r="Q859">
        <f>LN(1+Table1[[#This Row],[L* lab]])</f>
        <v>3.9251118191187615</v>
      </c>
      <c r="R859">
        <f>LN(1+Table1[[#This Row],[a* lab]]+128)</f>
        <v>4.9828593236766734</v>
      </c>
      <c r="S859">
        <v>5.2215706212029644</v>
      </c>
      <c r="T859">
        <v>3.6638801573276076</v>
      </c>
      <c r="U859">
        <f>LN(1+Table1[[#This Row],[Saturation]])</f>
        <v>4.5943345285895427</v>
      </c>
      <c r="V859">
        <v>4.1816979044398872</v>
      </c>
    </row>
    <row r="860" spans="1:23" x14ac:dyDescent="0.3">
      <c r="A860">
        <v>300</v>
      </c>
      <c r="B860">
        <v>168.29777777467899</v>
      </c>
      <c r="C860">
        <v>109.297753213544</v>
      </c>
      <c r="D860">
        <v>7.3463253837390701</v>
      </c>
      <c r="E860">
        <v>51.124192327206103</v>
      </c>
      <c r="F860">
        <v>16.516274359867001</v>
      </c>
      <c r="G860">
        <v>56.671034851190797</v>
      </c>
      <c r="H860">
        <v>38.005781115477703</v>
      </c>
      <c r="I860">
        <v>95.634924310423997</v>
      </c>
      <c r="J860">
        <v>65.999128539089796</v>
      </c>
      <c r="K860" t="s">
        <v>2</v>
      </c>
      <c r="L860">
        <v>4.83</v>
      </c>
      <c r="M860">
        <v>0</v>
      </c>
      <c r="N860">
        <f>LN(1+Table1[[#This Row],[Redness]])</f>
        <v>5.1316591630912125</v>
      </c>
      <c r="O860">
        <f>LN(1+Table1[[#This Row],[Greeness]])</f>
        <v>4.7031835562745101</v>
      </c>
      <c r="P860">
        <f>LN(1+Table1[[#This Row],[Blueness]])</f>
        <v>2.1218213681981655</v>
      </c>
      <c r="Q860">
        <f>LN(1+Table1[[#This Row],[L* lab]])</f>
        <v>3.9536291850772125</v>
      </c>
      <c r="R860">
        <f>LN(1+Table1[[#This Row],[a* lab]]+128)</f>
        <v>4.9802879316272239</v>
      </c>
      <c r="S860">
        <v>5.2239764780085807</v>
      </c>
      <c r="T860">
        <v>3.6637098688743102</v>
      </c>
      <c r="U860">
        <f>LN(1+Table1[[#This Row],[Saturation]])</f>
        <v>4.5709402111849275</v>
      </c>
      <c r="V860">
        <v>4.2046796124271193</v>
      </c>
    </row>
    <row r="861" spans="1:23" x14ac:dyDescent="0.3">
      <c r="A861">
        <v>300</v>
      </c>
      <c r="B861">
        <v>170.05404444131301</v>
      </c>
      <c r="C861">
        <v>111.054019485496</v>
      </c>
      <c r="D861">
        <v>9.2184614938967506</v>
      </c>
      <c r="E861">
        <v>51.786163867580299</v>
      </c>
      <c r="F861">
        <v>16.348240469904901</v>
      </c>
      <c r="G861">
        <v>56.871529586864</v>
      </c>
      <c r="H861">
        <v>37.9899358557592</v>
      </c>
      <c r="I861">
        <v>94.579098942231795</v>
      </c>
      <c r="J861">
        <v>66.687860565220902</v>
      </c>
      <c r="K861" t="s">
        <v>2</v>
      </c>
      <c r="L861">
        <v>4.83</v>
      </c>
      <c r="M861">
        <v>0</v>
      </c>
      <c r="N861">
        <f>LN(1+Table1[[#This Row],[Redness]])</f>
        <v>5.1419795559339834</v>
      </c>
      <c r="O861">
        <f>LN(1+Table1[[#This Row],[Greeness]])</f>
        <v>4.7189810718525029</v>
      </c>
      <c r="P861">
        <f>LN(1+Table1[[#This Row],[Blueness]])</f>
        <v>2.3241960346858059</v>
      </c>
      <c r="Q861">
        <f>LN(1+Table1[[#This Row],[L* lab]])</f>
        <v>3.9662491084091549</v>
      </c>
      <c r="R861">
        <f>LN(1+Table1[[#This Row],[a* lab]]+128)</f>
        <v>4.9791325214614028</v>
      </c>
      <c r="S861">
        <v>5.2250557339233783</v>
      </c>
      <c r="T861">
        <v>3.6633035578471973</v>
      </c>
      <c r="U861">
        <f>LN(1+Table1[[#This Row],[Saturation]])</f>
        <v>4.5599541658428819</v>
      </c>
      <c r="V861">
        <v>4.2149068516570258</v>
      </c>
    </row>
    <row r="862" spans="1:23" x14ac:dyDescent="0.3">
      <c r="A862">
        <v>300</v>
      </c>
      <c r="B862">
        <v>167.75324444135501</v>
      </c>
      <c r="C862">
        <v>108.753220002592</v>
      </c>
      <c r="D862">
        <v>7.1292635481581597</v>
      </c>
      <c r="E862">
        <v>50.920314693062302</v>
      </c>
      <c r="F862">
        <v>16.573671377629001</v>
      </c>
      <c r="G862">
        <v>56.532199447761997</v>
      </c>
      <c r="H862">
        <v>37.960940535525403</v>
      </c>
      <c r="I862">
        <v>95.750148635336501</v>
      </c>
      <c r="J862">
        <v>65.785586055433598</v>
      </c>
      <c r="K862" t="s">
        <v>2</v>
      </c>
      <c r="L862">
        <v>4.83</v>
      </c>
      <c r="M862">
        <v>0</v>
      </c>
      <c r="N862">
        <f>LN(1+Table1[[#This Row],[Redness]])</f>
        <v>5.1284375558869568</v>
      </c>
      <c r="O862">
        <f>LN(1+Table1[[#This Row],[Greeness]])</f>
        <v>4.6982343909562498</v>
      </c>
      <c r="P862">
        <f>LN(1+Table1[[#This Row],[Blueness]])</f>
        <v>2.0954703349743062</v>
      </c>
      <c r="Q862">
        <f>LN(1+Table1[[#This Row],[L* lab]])</f>
        <v>3.9497101334919171</v>
      </c>
      <c r="R862">
        <f>LN(1+Table1[[#This Row],[a* lab]]+128)</f>
        <v>4.9806822909608002</v>
      </c>
      <c r="S862">
        <v>5.2232284489125265</v>
      </c>
      <c r="T862">
        <v>3.6625596195385239</v>
      </c>
      <c r="U862">
        <f>LN(1+Table1[[#This Row],[Saturation]])</f>
        <v>4.5721318681912591</v>
      </c>
      <c r="V862">
        <v>4.2014872796459919</v>
      </c>
    </row>
    <row r="863" spans="1:23" x14ac:dyDescent="0.3">
      <c r="A863">
        <v>300</v>
      </c>
      <c r="B863">
        <v>166.92924444137</v>
      </c>
      <c r="C863">
        <v>107.929220187783</v>
      </c>
      <c r="D863">
        <v>7.1198415356390896</v>
      </c>
      <c r="E863">
        <v>50.611655027568197</v>
      </c>
      <c r="F863">
        <v>16.6655221237415</v>
      </c>
      <c r="G863">
        <v>56.2669163003169</v>
      </c>
      <c r="H863">
        <v>37.848603456059202</v>
      </c>
      <c r="I863">
        <v>95.734814735748799</v>
      </c>
      <c r="J863">
        <v>65.462448800537501</v>
      </c>
      <c r="K863" t="s">
        <v>2</v>
      </c>
      <c r="L863">
        <v>4.83</v>
      </c>
      <c r="M863">
        <v>0</v>
      </c>
      <c r="N863">
        <f>LN(1+Table1[[#This Row],[Redness]])</f>
        <v>5.123542726649311</v>
      </c>
      <c r="O863">
        <f>LN(1+Table1[[#This Row],[Greeness]])</f>
        <v>4.6906983152307875</v>
      </c>
      <c r="P863">
        <f>LN(1+Table1[[#This Row],[Blueness]])</f>
        <v>2.0943106386677774</v>
      </c>
      <c r="Q863">
        <f>LN(1+Table1[[#This Row],[L* lab]])</f>
        <v>3.9437475196094263</v>
      </c>
      <c r="R863">
        <f>LN(1+Table1[[#This Row],[a* lab]]+128)</f>
        <v>4.9813130491225266</v>
      </c>
      <c r="S863">
        <v>5.2217975760682283</v>
      </c>
      <c r="T863">
        <v>3.6596721290905614</v>
      </c>
      <c r="U863">
        <f>LN(1+Table1[[#This Row],[Saturation]])</f>
        <v>4.5719733659557091</v>
      </c>
      <c r="V863">
        <v>4.1966371084790222</v>
      </c>
    </row>
    <row r="864" spans="1:23" x14ac:dyDescent="0.3">
      <c r="A864">
        <v>300</v>
      </c>
      <c r="B864">
        <v>163.838933330316</v>
      </c>
      <c r="C864">
        <v>104.760687566564</v>
      </c>
      <c r="D864">
        <v>3.9556452936205999</v>
      </c>
      <c r="E864">
        <v>49.423886680073103</v>
      </c>
      <c r="F864">
        <v>17.0083451489451</v>
      </c>
      <c r="G864">
        <v>55.912087233172002</v>
      </c>
      <c r="H864">
        <v>37.829485561920997</v>
      </c>
      <c r="I864">
        <v>97.585649995873894</v>
      </c>
      <c r="J864">
        <v>64.250562090320201</v>
      </c>
      <c r="K864" t="s">
        <v>2</v>
      </c>
      <c r="L864">
        <v>4.83</v>
      </c>
      <c r="M864">
        <v>0</v>
      </c>
      <c r="N864">
        <f>LN(1+Table1[[#This Row],[Redness]])</f>
        <v>5.1049688355100775</v>
      </c>
      <c r="O864">
        <f>LN(1+Table1[[#This Row],[Greeness]])</f>
        <v>4.6611788772789531</v>
      </c>
      <c r="P864">
        <f>LN(1+Table1[[#This Row],[Blueness]])</f>
        <v>1.6005273901039887</v>
      </c>
      <c r="Q864">
        <f>LN(1+Table1[[#This Row],[L* lab]])</f>
        <v>3.9204650048671983</v>
      </c>
      <c r="R864">
        <f>LN(1+Table1[[#This Row],[a* lab]]+128)</f>
        <v>4.9836637786292668</v>
      </c>
      <c r="S864">
        <v>5.2198805079880364</v>
      </c>
      <c r="T864">
        <v>3.6591798951860999</v>
      </c>
      <c r="U864">
        <f>LN(1+Table1[[#This Row],[Saturation]])</f>
        <v>4.5909257134497681</v>
      </c>
      <c r="V864">
        <v>4.1782346605767362</v>
      </c>
    </row>
    <row r="865" spans="1:23" x14ac:dyDescent="0.3">
      <c r="A865">
        <v>300</v>
      </c>
      <c r="B865">
        <v>161.27466666369699</v>
      </c>
      <c r="C865">
        <v>105.11215415424</v>
      </c>
      <c r="D865">
        <v>9.3949575656720707</v>
      </c>
      <c r="E865">
        <v>49.191279028041301</v>
      </c>
      <c r="F865">
        <v>15.7303783666091</v>
      </c>
      <c r="G865">
        <v>54.447326474858698</v>
      </c>
      <c r="H865">
        <v>37.813028675262203</v>
      </c>
      <c r="I865">
        <v>94.174560853216207</v>
      </c>
      <c r="J865">
        <v>63.244967319096901</v>
      </c>
      <c r="K865" t="s">
        <v>2</v>
      </c>
      <c r="L865">
        <v>4.83</v>
      </c>
      <c r="M865">
        <v>0</v>
      </c>
      <c r="N865">
        <f>LN(1+Table1[[#This Row],[Redness]])</f>
        <v>5.0892903727728962</v>
      </c>
      <c r="O865">
        <f>LN(1+Table1[[#This Row],[Greeness]])</f>
        <v>4.6644965928220214</v>
      </c>
      <c r="P865">
        <f>LN(1+Table1[[#This Row],[Blueness]])</f>
        <v>2.3413208391152152</v>
      </c>
      <c r="Q865">
        <f>LN(1+Table1[[#This Row],[L* lab]])</f>
        <v>3.9158412870648176</v>
      </c>
      <c r="R865">
        <f>LN(1+Table1[[#This Row],[a* lab]]+128)</f>
        <v>4.9748725519389803</v>
      </c>
      <c r="S865">
        <v>5.2119275771047908</v>
      </c>
      <c r="T865">
        <v>3.6587559808637233</v>
      </c>
      <c r="U865">
        <f>LN(1+Table1[[#This Row],[Saturation]])</f>
        <v>4.5557126881598462</v>
      </c>
      <c r="V865">
        <v>4.1627033910435394</v>
      </c>
      <c r="W865" t="s">
        <v>26</v>
      </c>
    </row>
    <row r="866" spans="1:23" x14ac:dyDescent="0.3">
      <c r="A866">
        <v>400</v>
      </c>
      <c r="B866">
        <v>158.0599111082</v>
      </c>
      <c r="C866">
        <v>103.059887948812</v>
      </c>
      <c r="D866">
        <v>2.87495823506505</v>
      </c>
      <c r="E866">
        <v>48.2546336732442</v>
      </c>
      <c r="F866">
        <v>15.3209057637602</v>
      </c>
      <c r="G866">
        <v>54.997232229081199</v>
      </c>
      <c r="H866">
        <v>38.735042744375797</v>
      </c>
      <c r="I866">
        <v>98.1810958800951</v>
      </c>
      <c r="J866">
        <v>61.984278865961102</v>
      </c>
      <c r="K866" t="s">
        <v>2</v>
      </c>
      <c r="L866">
        <v>6.44</v>
      </c>
      <c r="M866">
        <v>0</v>
      </c>
      <c r="N866">
        <f>LN(1+Table1[[#This Row],[Redness]])</f>
        <v>5.0692809306717983</v>
      </c>
      <c r="O866">
        <f>LN(1+Table1[[#This Row],[Greeness]])</f>
        <v>4.6449665790675363</v>
      </c>
      <c r="P866">
        <f>LN(1+Table1[[#This Row],[Blueness]])</f>
        <v>1.3545348846994978</v>
      </c>
      <c r="Q866">
        <f>LN(1+Table1[[#This Row],[L* lab]])</f>
        <v>3.8970034479283298</v>
      </c>
      <c r="R866">
        <f>LN(1+Table1[[#This Row],[a* lab]]+128)</f>
        <v>4.972039332373889</v>
      </c>
      <c r="S866">
        <v>5.214920715262596</v>
      </c>
      <c r="T866">
        <v>3.6822334871277111</v>
      </c>
      <c r="U866">
        <f>LN(1+Table1[[#This Row],[Saturation]])</f>
        <v>4.5969474304060247</v>
      </c>
      <c r="V866">
        <v>4.1428851534406528</v>
      </c>
    </row>
    <row r="867" spans="1:23" x14ac:dyDescent="0.3">
      <c r="A867">
        <v>400</v>
      </c>
      <c r="B867">
        <v>159.659911108171</v>
      </c>
      <c r="C867">
        <v>104.659887589219</v>
      </c>
      <c r="D867">
        <v>4.6598073990554703</v>
      </c>
      <c r="E867">
        <v>48.864514850419098</v>
      </c>
      <c r="F867">
        <v>15.1709902135073</v>
      </c>
      <c r="G867">
        <v>55.126873126540403</v>
      </c>
      <c r="H867">
        <v>38.709682560405497</v>
      </c>
      <c r="I867">
        <v>97.081416764726598</v>
      </c>
      <c r="J867">
        <v>62.611729846341703</v>
      </c>
      <c r="K867" t="s">
        <v>2</v>
      </c>
      <c r="L867">
        <v>6.44</v>
      </c>
      <c r="M867">
        <v>0</v>
      </c>
      <c r="N867">
        <f>LN(1+Table1[[#This Row],[Redness]])</f>
        <v>5.0792897774539103</v>
      </c>
      <c r="O867">
        <f>LN(1+Table1[[#This Row],[Greeness]])</f>
        <v>4.6602253278440555</v>
      </c>
      <c r="P867">
        <f>LN(1+Table1[[#This Row],[Blueness]])</f>
        <v>1.7333898632006819</v>
      </c>
      <c r="Q867">
        <f>LN(1+Table1[[#This Row],[L* lab]])</f>
        <v>3.9093096245458798</v>
      </c>
      <c r="R867">
        <f>LN(1+Table1[[#This Row],[a* lab]]+128)</f>
        <v>4.9710000271744175</v>
      </c>
      <c r="S867">
        <v>5.2156250478555037</v>
      </c>
      <c r="T867">
        <v>3.6815950511652376</v>
      </c>
      <c r="U867">
        <f>LN(1+Table1[[#This Row],[Saturation]])</f>
        <v>4.5857979170746681</v>
      </c>
      <c r="V867">
        <v>4.1527978848869225</v>
      </c>
    </row>
    <row r="868" spans="1:23" x14ac:dyDescent="0.3">
      <c r="A868">
        <v>400</v>
      </c>
      <c r="B868">
        <v>159.47804444150799</v>
      </c>
      <c r="C868">
        <v>104.478020963426</v>
      </c>
      <c r="D868">
        <v>4.4779447800552497</v>
      </c>
      <c r="E868">
        <v>48.79473844548</v>
      </c>
      <c r="F868">
        <v>15.1884035618748</v>
      </c>
      <c r="G868">
        <v>55.113988946399203</v>
      </c>
      <c r="H868">
        <v>38.709682020252302</v>
      </c>
      <c r="I868">
        <v>97.192124598883098</v>
      </c>
      <c r="J868">
        <v>62.540409584905099</v>
      </c>
      <c r="K868" t="s">
        <v>2</v>
      </c>
      <c r="L868">
        <v>6.44</v>
      </c>
      <c r="M868">
        <v>0</v>
      </c>
      <c r="N868">
        <f>LN(1+Table1[[#This Row],[Redness]])</f>
        <v>5.0781571384558548</v>
      </c>
      <c r="O868">
        <f>LN(1+Table1[[#This Row],[Greeness]])</f>
        <v>4.6585025991117472</v>
      </c>
      <c r="P868">
        <f>LN(1+Table1[[#This Row],[Blueness]])</f>
        <v>1.7007299904788804</v>
      </c>
      <c r="Q868">
        <f>LN(1+Table1[[#This Row],[L* lab]])</f>
        <v>3.9079093247436405</v>
      </c>
      <c r="R868">
        <f>LN(1+Table1[[#This Row],[a* lab]]+128)</f>
        <v>4.9711208024899758</v>
      </c>
      <c r="S868">
        <v>5.2155550709383638</v>
      </c>
      <c r="T868">
        <v>3.6815950375626811</v>
      </c>
      <c r="U868">
        <f>LN(1+Table1[[#This Row],[Saturation]])</f>
        <v>4.5869260145770419</v>
      </c>
      <c r="V868">
        <v>4.1516760749160477</v>
      </c>
    </row>
    <row r="869" spans="1:23" x14ac:dyDescent="0.3">
      <c r="A869">
        <v>400</v>
      </c>
      <c r="B869">
        <v>158.69013333041099</v>
      </c>
      <c r="C869">
        <v>103.35677677097701</v>
      </c>
      <c r="D869">
        <v>4.3595029717376601</v>
      </c>
      <c r="E869">
        <v>48.412366388645502</v>
      </c>
      <c r="F869">
        <v>15.464518358195701</v>
      </c>
      <c r="G869">
        <v>54.834731468603003</v>
      </c>
      <c r="H869">
        <v>38.487735157627597</v>
      </c>
      <c r="I869">
        <v>97.252820398946497</v>
      </c>
      <c r="J869">
        <v>62.2314248354554</v>
      </c>
      <c r="K869" t="s">
        <v>2</v>
      </c>
      <c r="L869">
        <v>6.44</v>
      </c>
      <c r="M869">
        <v>0</v>
      </c>
      <c r="N869">
        <f>LN(1+Table1[[#This Row],[Redness]])</f>
        <v>5.0732352707851778</v>
      </c>
      <c r="O869">
        <f>LN(1+Table1[[#This Row],[Greeness]])</f>
        <v>4.6478155741167475</v>
      </c>
      <c r="P869">
        <f>LN(1+Table1[[#This Row],[Blueness]])</f>
        <v>1.6788712416296752</v>
      </c>
      <c r="Q869">
        <f>LN(1+Table1[[#This Row],[L* lab]])</f>
        <v>3.9002007246200687</v>
      </c>
      <c r="R869">
        <f>LN(1+Table1[[#This Row],[a* lab]]+128)</f>
        <v>4.9730339297065687</v>
      </c>
      <c r="S869">
        <v>5.2140371554467695</v>
      </c>
      <c r="T869">
        <v>3.6759901213527022</v>
      </c>
      <c r="U869">
        <f>LN(1+Table1[[#This Row],[Saturation]])</f>
        <v>4.5875439566879521</v>
      </c>
      <c r="V869">
        <v>4.1468014059848333</v>
      </c>
    </row>
    <row r="870" spans="1:23" x14ac:dyDescent="0.3">
      <c r="A870">
        <v>400</v>
      </c>
      <c r="B870">
        <v>158.92213333040701</v>
      </c>
      <c r="C870">
        <v>103.48531007542201</v>
      </c>
      <c r="D870">
        <v>4.7387167539027102</v>
      </c>
      <c r="E870">
        <v>48.476121979284102</v>
      </c>
      <c r="F870">
        <v>15.503186703706</v>
      </c>
      <c r="G870">
        <v>54.800633304575499</v>
      </c>
      <c r="H870">
        <v>38.426931578282797</v>
      </c>
      <c r="I870">
        <v>97.018214735356807</v>
      </c>
      <c r="J870">
        <v>62.322405227610602</v>
      </c>
      <c r="K870" t="s">
        <v>2</v>
      </c>
      <c r="L870">
        <v>6.44</v>
      </c>
      <c r="M870">
        <v>0</v>
      </c>
      <c r="N870">
        <f>LN(1+Table1[[#This Row],[Redness]])</f>
        <v>5.0746870300882039</v>
      </c>
      <c r="O870">
        <f>LN(1+Table1[[#This Row],[Greeness]])</f>
        <v>4.6490464880825559</v>
      </c>
      <c r="P870">
        <f>LN(1+Table1[[#This Row],[Blueness]])</f>
        <v>1.7472356232999022</v>
      </c>
      <c r="Q870">
        <f>LN(1+Table1[[#This Row],[L* lab]])</f>
        <v>3.9014901689330426</v>
      </c>
      <c r="R870">
        <f>LN(1+Table1[[#This Row],[a* lab]]+128)</f>
        <v>4.9733015606221604</v>
      </c>
      <c r="S870">
        <v>5.2138516555335803</v>
      </c>
      <c r="T870">
        <v>3.6744491253910607</v>
      </c>
      <c r="U870">
        <f>LN(1+Table1[[#This Row],[Saturation]])</f>
        <v>4.5851533260463766</v>
      </c>
      <c r="V870">
        <v>4.1482392195663511</v>
      </c>
    </row>
    <row r="871" spans="1:23" x14ac:dyDescent="0.3">
      <c r="A871">
        <v>400</v>
      </c>
      <c r="B871">
        <v>158.549866663747</v>
      </c>
      <c r="C871">
        <v>102.792688008864</v>
      </c>
      <c r="D871">
        <v>5.0711760211146197</v>
      </c>
      <c r="E871">
        <v>48.256463900969003</v>
      </c>
      <c r="F871">
        <v>15.7333933631226</v>
      </c>
      <c r="G871">
        <v>54.541959908946801</v>
      </c>
      <c r="H871">
        <v>38.202637087368501</v>
      </c>
      <c r="I871">
        <v>96.801526152103506</v>
      </c>
      <c r="J871">
        <v>62.176418299508697</v>
      </c>
      <c r="K871" t="s">
        <v>2</v>
      </c>
      <c r="L871">
        <v>6.44</v>
      </c>
      <c r="M871">
        <v>0</v>
      </c>
      <c r="N871">
        <f>LN(1+Table1[[#This Row],[Redness]])</f>
        <v>5.0723565170219098</v>
      </c>
      <c r="O871">
        <f>LN(1+Table1[[#This Row],[Greeness]])</f>
        <v>4.6423955251760303</v>
      </c>
      <c r="P871">
        <f>LN(1+Table1[[#This Row],[Blueness]])</f>
        <v>1.8035523294876006</v>
      </c>
      <c r="Q871">
        <f>LN(1+Table1[[#This Row],[L* lab]])</f>
        <v>3.8970406057261835</v>
      </c>
      <c r="R871">
        <f>LN(1+Table1[[#This Row],[a* lab]]+128)</f>
        <v>4.9748933835373217</v>
      </c>
      <c r="S871">
        <v>5.2124433057088497</v>
      </c>
      <c r="T871">
        <v>3.668744017170666</v>
      </c>
      <c r="U871">
        <f>LN(1+Table1[[#This Row],[Saturation]])</f>
        <v>4.5829401817462516</v>
      </c>
      <c r="V871">
        <v>4.1459311033508435</v>
      </c>
    </row>
    <row r="872" spans="1:23" x14ac:dyDescent="0.3">
      <c r="A872">
        <v>400</v>
      </c>
      <c r="B872">
        <v>157.09439999710699</v>
      </c>
      <c r="C872">
        <v>101.31126611958599</v>
      </c>
      <c r="D872">
        <v>3.7057175228611401</v>
      </c>
      <c r="E872">
        <v>47.694018936279903</v>
      </c>
      <c r="F872">
        <v>15.8894505439662</v>
      </c>
      <c r="G872">
        <v>54.3830203755955</v>
      </c>
      <c r="H872">
        <v>38.179693712323001</v>
      </c>
      <c r="I872">
        <v>97.641088719311796</v>
      </c>
      <c r="J872">
        <v>61.605647057689197</v>
      </c>
      <c r="K872" t="s">
        <v>2</v>
      </c>
      <c r="L872">
        <v>6.44</v>
      </c>
      <c r="M872">
        <v>0</v>
      </c>
      <c r="N872">
        <f>LN(1+Table1[[#This Row],[Redness]])</f>
        <v>5.0631923229499414</v>
      </c>
      <c r="O872">
        <f>LN(1+Table1[[#This Row],[Greeness]])</f>
        <v>4.6280197951401076</v>
      </c>
      <c r="P872">
        <f>LN(1+Table1[[#This Row],[Blueness]])</f>
        <v>1.5487782636122194</v>
      </c>
      <c r="Q872">
        <f>LN(1+Table1[[#This Row],[L* lab]])</f>
        <v>3.8855562080961272</v>
      </c>
      <c r="R872">
        <f>LN(1+Table1[[#This Row],[a* lab]]+128)</f>
        <v>4.9759710415966198</v>
      </c>
      <c r="S872">
        <v>5.2115769730695796</v>
      </c>
      <c r="T872">
        <v>3.6681585950361955</v>
      </c>
      <c r="U872">
        <f>LN(1+Table1[[#This Row],[Saturation]])</f>
        <v>4.5914878960955816</v>
      </c>
      <c r="V872">
        <v>4.1368554826267872</v>
      </c>
    </row>
    <row r="873" spans="1:23" x14ac:dyDescent="0.3">
      <c r="A873">
        <v>400</v>
      </c>
      <c r="B873">
        <v>162.23093333034601</v>
      </c>
      <c r="C873">
        <v>106.314109439661</v>
      </c>
      <c r="D873">
        <v>9.0643315909904096</v>
      </c>
      <c r="E873">
        <v>49.6175804715932</v>
      </c>
      <c r="F873">
        <v>15.4746158515816</v>
      </c>
      <c r="G873">
        <v>54.8786572504658</v>
      </c>
      <c r="H873">
        <v>38.095685382180697</v>
      </c>
      <c r="I873">
        <v>94.412698364662006</v>
      </c>
      <c r="J873">
        <v>63.619973855037699</v>
      </c>
      <c r="K873" t="s">
        <v>2</v>
      </c>
      <c r="L873">
        <v>6.44</v>
      </c>
      <c r="M873">
        <v>0</v>
      </c>
      <c r="N873">
        <f>LN(1+Table1[[#This Row],[Redness]])</f>
        <v>5.0951659670344585</v>
      </c>
      <c r="O873">
        <f>LN(1+Table1[[#This Row],[Greeness]])</f>
        <v>4.6757601362357226</v>
      </c>
      <c r="P873">
        <f>LN(1+Table1[[#This Row],[Blueness]])</f>
        <v>2.3089976476456702</v>
      </c>
      <c r="Q873">
        <f>LN(1+Table1[[#This Row],[L* lab]])</f>
        <v>3.9242989561001309</v>
      </c>
      <c r="R873">
        <f>LN(1+Table1[[#This Row],[a* lab]]+128)</f>
        <v>4.9731038232737212</v>
      </c>
      <c r="S873">
        <v>5.2142760685971705</v>
      </c>
      <c r="T873">
        <v>3.6660121126206771</v>
      </c>
      <c r="U873">
        <f>LN(1+Table1[[#This Row],[Saturation]])</f>
        <v>4.55821167614417</v>
      </c>
      <c r="V873">
        <v>4.1685235558007534</v>
      </c>
    </row>
    <row r="874" spans="1:23" x14ac:dyDescent="0.3">
      <c r="A874">
        <v>400</v>
      </c>
      <c r="B874">
        <v>160.16568888593901</v>
      </c>
      <c r="C874">
        <v>104.16566547807101</v>
      </c>
      <c r="D874">
        <v>7.16552940766553</v>
      </c>
      <c r="E874">
        <v>48.812259886213901</v>
      </c>
      <c r="F874">
        <v>15.7236331411303</v>
      </c>
      <c r="G874">
        <v>54.577940343513099</v>
      </c>
      <c r="H874">
        <v>38.0392293973443</v>
      </c>
      <c r="I874">
        <v>95.526177012375996</v>
      </c>
      <c r="J874">
        <v>62.810074072917502</v>
      </c>
      <c r="K874" t="s">
        <v>2</v>
      </c>
      <c r="L874">
        <v>6.44</v>
      </c>
      <c r="M874">
        <v>0</v>
      </c>
      <c r="N874">
        <f>LN(1+Table1[[#This Row],[Redness]])</f>
        <v>5.0824329593150406</v>
      </c>
      <c r="O874">
        <f>LN(1+Table1[[#This Row],[Greeness]])</f>
        <v>4.6555368732494999</v>
      </c>
      <c r="P874">
        <f>LN(1+Table1[[#This Row],[Blueness]])</f>
        <v>2.0999215629813053</v>
      </c>
      <c r="Q874">
        <f>LN(1+Table1[[#This Row],[L* lab]])</f>
        <v>3.9082611361867738</v>
      </c>
      <c r="R874">
        <f>LN(1+Table1[[#This Row],[a* lab]]+128)</f>
        <v>4.9748259453955441</v>
      </c>
      <c r="S874">
        <v>5.2126393203332642</v>
      </c>
      <c r="T874">
        <v>3.664567022552546</v>
      </c>
      <c r="U874">
        <f>LN(1+Table1[[#This Row],[Saturation]])</f>
        <v>4.5698142359363647</v>
      </c>
      <c r="V874">
        <v>4.1559110787151479</v>
      </c>
    </row>
    <row r="875" spans="1:23" x14ac:dyDescent="0.3">
      <c r="A875">
        <v>400</v>
      </c>
      <c r="B875">
        <v>158.829866663742</v>
      </c>
      <c r="C875">
        <v>102.82984355606899</v>
      </c>
      <c r="D875">
        <v>5.8297369158105496</v>
      </c>
      <c r="E875">
        <v>48.303527019048602</v>
      </c>
      <c r="F875">
        <v>15.8525117291719</v>
      </c>
      <c r="G875">
        <v>54.427869061649801</v>
      </c>
      <c r="H875">
        <v>38.039225247743502</v>
      </c>
      <c r="I875">
        <v>96.329571359426595</v>
      </c>
      <c r="J875">
        <v>62.286222221075299</v>
      </c>
      <c r="K875" t="s">
        <v>2</v>
      </c>
      <c r="L875">
        <v>6.44</v>
      </c>
      <c r="M875">
        <v>0</v>
      </c>
      <c r="N875">
        <f>LN(1+Table1[[#This Row],[Redness]])</f>
        <v>5.0741099161422234</v>
      </c>
      <c r="O875">
        <f>LN(1+Table1[[#This Row],[Greeness]])</f>
        <v>4.6427534395827337</v>
      </c>
      <c r="P875">
        <f>LN(1+Table1[[#This Row],[Blueness]])</f>
        <v>1.9212861539258261</v>
      </c>
      <c r="Q875">
        <f>LN(1+Table1[[#This Row],[L* lab]])</f>
        <v>3.8979956204581714</v>
      </c>
      <c r="R875">
        <f>LN(1+Table1[[#This Row],[a* lab]]+128)</f>
        <v>4.9757160642733176</v>
      </c>
      <c r="S875">
        <v>5.2118215060841067</v>
      </c>
      <c r="T875">
        <v>3.6645669162594379</v>
      </c>
      <c r="U875">
        <f>LN(1+Table1[[#This Row],[Saturation]])</f>
        <v>4.5781028624363751</v>
      </c>
      <c r="V875">
        <v>4.1476676470242664</v>
      </c>
    </row>
    <row r="876" spans="1:23" x14ac:dyDescent="0.3">
      <c r="A876">
        <v>400</v>
      </c>
      <c r="B876">
        <v>158.37262221930601</v>
      </c>
      <c r="C876">
        <v>102.372599214389</v>
      </c>
      <c r="D876">
        <v>5.3725026479038398</v>
      </c>
      <c r="E876">
        <v>48.129352515119898</v>
      </c>
      <c r="F876">
        <v>15.896627610625</v>
      </c>
      <c r="G876">
        <v>54.377029126999098</v>
      </c>
      <c r="H876">
        <v>38.039223827358001</v>
      </c>
      <c r="I876">
        <v>96.607682203768505</v>
      </c>
      <c r="J876">
        <v>62.106910674237703</v>
      </c>
      <c r="K876" t="s">
        <v>2</v>
      </c>
      <c r="L876">
        <v>6.44</v>
      </c>
      <c r="M876">
        <v>0</v>
      </c>
      <c r="N876">
        <f>LN(1+Table1[[#This Row],[Redness]])</f>
        <v>5.0712449963931192</v>
      </c>
      <c r="O876">
        <f>LN(1+Table1[[#This Row],[Greeness]])</f>
        <v>4.6383399290295682</v>
      </c>
      <c r="P876">
        <f>LN(1+Table1[[#This Row],[Blueness]])</f>
        <v>1.8519922727884615</v>
      </c>
      <c r="Q876">
        <f>LN(1+Table1[[#This Row],[L* lab]])</f>
        <v>3.894456667081295</v>
      </c>
      <c r="R876">
        <f>LN(1+Table1[[#This Row],[a* lab]]+128)</f>
        <v>4.9760205751470652</v>
      </c>
      <c r="S876">
        <v>5.2115443018524985</v>
      </c>
      <c r="T876">
        <v>3.6645668798758901</v>
      </c>
      <c r="U876">
        <f>LN(1+Table1[[#This Row],[Saturation]])</f>
        <v>4.5809562014256757</v>
      </c>
      <c r="V876">
        <v>4.1448302829519044</v>
      </c>
    </row>
    <row r="877" spans="1:23" x14ac:dyDescent="0.3">
      <c r="A877">
        <v>400</v>
      </c>
      <c r="B877">
        <v>157.93368888597999</v>
      </c>
      <c r="C877">
        <v>101.933665979704</v>
      </c>
      <c r="D877">
        <v>4.9335790835719298</v>
      </c>
      <c r="E877">
        <v>47.962164118291902</v>
      </c>
      <c r="F877">
        <v>15.9389792945101</v>
      </c>
      <c r="G877">
        <v>54.327931054880302</v>
      </c>
      <c r="H877">
        <v>38.039222463854102</v>
      </c>
      <c r="I877">
        <v>96.876170550835596</v>
      </c>
      <c r="J877">
        <v>61.934779955286601</v>
      </c>
      <c r="K877" t="s">
        <v>2</v>
      </c>
      <c r="L877">
        <v>6.44</v>
      </c>
      <c r="M877">
        <v>0</v>
      </c>
      <c r="N877">
        <f>LN(1+Table1[[#This Row],[Redness]])</f>
        <v>5.068487064198691</v>
      </c>
      <c r="O877">
        <f>LN(1+Table1[[#This Row],[Greeness]])</f>
        <v>4.6340847611453988</v>
      </c>
      <c r="P877">
        <f>LN(1+Table1[[#This Row],[Blueness]])</f>
        <v>1.7806275863517429</v>
      </c>
      <c r="Q877">
        <f>LN(1+Table1[[#This Row],[L* lab]])</f>
        <v>3.8910478389896994</v>
      </c>
      <c r="R877">
        <f>LN(1+Table1[[#This Row],[a* lab]]+128)</f>
        <v>4.9763128213940924</v>
      </c>
      <c r="S877">
        <v>5.2112765221508672</v>
      </c>
      <c r="T877">
        <v>3.6645668449493778</v>
      </c>
      <c r="U877">
        <f>LN(1+Table1[[#This Row],[Saturation]])</f>
        <v>4.5837031138903894</v>
      </c>
      <c r="V877">
        <v>4.1420989513567505</v>
      </c>
    </row>
    <row r="878" spans="1:23" x14ac:dyDescent="0.3">
      <c r="A878">
        <v>400</v>
      </c>
      <c r="B878">
        <v>160.91039999703699</v>
      </c>
      <c r="C878">
        <v>104.91037642181099</v>
      </c>
      <c r="D878">
        <v>8.1679959849306698</v>
      </c>
      <c r="E878">
        <v>49.096239644537697</v>
      </c>
      <c r="F878">
        <v>15.655907587733299</v>
      </c>
      <c r="G878">
        <v>54.6114559589926</v>
      </c>
      <c r="H878">
        <v>38.002170148852599</v>
      </c>
      <c r="I878">
        <v>94.923885600258799</v>
      </c>
      <c r="J878">
        <v>63.102117645896897</v>
      </c>
      <c r="K878" t="s">
        <v>2</v>
      </c>
      <c r="L878">
        <v>6.44</v>
      </c>
      <c r="M878">
        <v>0</v>
      </c>
      <c r="N878">
        <f>LN(1+Table1[[#This Row],[Redness]])</f>
        <v>5.0870430957856163</v>
      </c>
      <c r="O878">
        <f>LN(1+Table1[[#This Row],[Greeness]])</f>
        <v>4.6625932310161113</v>
      </c>
      <c r="P878">
        <f>LN(1+Table1[[#This Row],[Blueness]])</f>
        <v>2.2157187220284253</v>
      </c>
      <c r="Q878">
        <f>LN(1+Table1[[#This Row],[L* lab]])</f>
        <v>3.9139459482786463</v>
      </c>
      <c r="R878">
        <f>LN(1+Table1[[#This Row],[a* lab]]+128)</f>
        <v>4.9743578711532326</v>
      </c>
      <c r="S878">
        <v>5.2128218725306317</v>
      </c>
      <c r="T878">
        <v>3.6636172894239039</v>
      </c>
      <c r="U878">
        <f>LN(1+Table1[[#This Row],[Saturation]])</f>
        <v>4.5635550186587972</v>
      </c>
      <c r="V878">
        <v>4.1604773999783831</v>
      </c>
    </row>
    <row r="879" spans="1:23" x14ac:dyDescent="0.3">
      <c r="A879">
        <v>400</v>
      </c>
      <c r="B879">
        <v>170.824211107965</v>
      </c>
      <c r="C879">
        <v>103.40054342780699</v>
      </c>
      <c r="D879">
        <v>7.0614400576869896</v>
      </c>
      <c r="E879">
        <v>50.0216109720863</v>
      </c>
      <c r="F879">
        <v>20.957901733884</v>
      </c>
      <c r="G879">
        <v>56.108999746194002</v>
      </c>
      <c r="H879">
        <v>35.297071276551101</v>
      </c>
      <c r="I879">
        <v>95.866253377149206</v>
      </c>
      <c r="J879">
        <v>66.9898867090062</v>
      </c>
      <c r="K879" t="s">
        <v>2</v>
      </c>
      <c r="L879" s="3">
        <v>6.44</v>
      </c>
      <c r="M879">
        <v>0</v>
      </c>
      <c r="N879">
        <f>LN(1+Table1[[#This Row],[Redness]])</f>
        <v>5.1464719257441969</v>
      </c>
      <c r="O879">
        <f>LN(1+Table1[[#This Row],[Greeness]])</f>
        <v>4.6482348806821845</v>
      </c>
      <c r="P879">
        <f>LN(1+Table1[[#This Row],[Blueness]])</f>
        <v>2.087092207766275</v>
      </c>
      <c r="Q879">
        <f>LN(1+Table1[[#This Row],[L* lab]])</f>
        <v>3.9322492875206696</v>
      </c>
      <c r="R879">
        <f>LN(1+Table1[[#This Row],[a* lab]]+128)</f>
        <v>5.0103545995978012</v>
      </c>
      <c r="S879">
        <v>5.2209448393925948</v>
      </c>
      <c r="T879">
        <v>3.5917370569291647</v>
      </c>
      <c r="U879">
        <f>LN(1+Table1[[#This Row],[Saturation]])</f>
        <v>4.5733311958775795</v>
      </c>
      <c r="V879">
        <v>4.219358969247911</v>
      </c>
      <c r="W879" t="s">
        <v>26</v>
      </c>
    </row>
    <row r="880" spans="1:23" x14ac:dyDescent="0.3">
      <c r="A880">
        <v>400</v>
      </c>
      <c r="B880">
        <v>163.61998333032</v>
      </c>
      <c r="C880">
        <v>90.188763063768803</v>
      </c>
      <c r="D880">
        <v>8.25134690758982</v>
      </c>
      <c r="E880">
        <v>45.930279381480901</v>
      </c>
      <c r="F880">
        <v>25.1603391606073</v>
      </c>
      <c r="G880">
        <v>52.519291475395903</v>
      </c>
      <c r="H880">
        <v>31.642454246650502</v>
      </c>
      <c r="I880">
        <v>94.957005409949303</v>
      </c>
      <c r="J880">
        <v>64.164699345223696</v>
      </c>
      <c r="K880" t="s">
        <v>2</v>
      </c>
      <c r="L880" s="3">
        <v>6.44</v>
      </c>
      <c r="M880">
        <v>0</v>
      </c>
      <c r="N880">
        <f>LN(1+Table1[[#This Row],[Redness]])</f>
        <v>5.1036396862829205</v>
      </c>
      <c r="O880">
        <f>LN(1+Table1[[#This Row],[Greeness]])</f>
        <v>4.5129316774689823</v>
      </c>
      <c r="P880">
        <f>LN(1+Table1[[#This Row],[Blueness]])</f>
        <v>2.224769152555321</v>
      </c>
      <c r="Q880">
        <f>LN(1+Table1[[#This Row],[L* lab]])</f>
        <v>3.8486630829418322</v>
      </c>
      <c r="R880">
        <f>LN(1+Table1[[#This Row],[a* lab]]+128)</f>
        <v>5.037993224159524</v>
      </c>
      <c r="S880">
        <v>5.2013619371772561</v>
      </c>
      <c r="T880">
        <v>3.4856137186493998</v>
      </c>
      <c r="U880">
        <f>LN(1+Table1[[#This Row],[Saturation]])</f>
        <v>4.563900230835424</v>
      </c>
      <c r="V880">
        <v>4.1769179012257602</v>
      </c>
      <c r="W880" t="s">
        <v>26</v>
      </c>
    </row>
    <row r="881" spans="1:23" x14ac:dyDescent="0.3">
      <c r="A881">
        <v>400</v>
      </c>
      <c r="B881">
        <v>163.14372221921801</v>
      </c>
      <c r="C881">
        <v>90.287968597028296</v>
      </c>
      <c r="D881">
        <v>9.6128499383234995</v>
      </c>
      <c r="E881">
        <v>45.889360463380498</v>
      </c>
      <c r="F881">
        <v>24.924946171430001</v>
      </c>
      <c r="G881">
        <v>52.0592652897748</v>
      </c>
      <c r="H881">
        <v>31.527907368794601</v>
      </c>
      <c r="I881">
        <v>94.107741439534706</v>
      </c>
      <c r="J881">
        <v>63.977930282046401</v>
      </c>
      <c r="K881" t="s">
        <v>2</v>
      </c>
      <c r="L881" s="3">
        <v>6.44</v>
      </c>
      <c r="M881">
        <v>0</v>
      </c>
      <c r="N881">
        <f>LN(1+Table1[[#This Row],[Redness]])</f>
        <v>5.1007423990445906</v>
      </c>
      <c r="O881">
        <f>LN(1+Table1[[#This Row],[Greeness]])</f>
        <v>4.5140190001334179</v>
      </c>
      <c r="P881">
        <f>LN(1+Table1[[#This Row],[Blueness]])</f>
        <v>2.3620655252585885</v>
      </c>
      <c r="Q881">
        <f>LN(1+Table1[[#This Row],[L* lab]])</f>
        <v>3.8477907939251059</v>
      </c>
      <c r="R881">
        <f>LN(1+Table1[[#This Row],[a* lab]]+128)</f>
        <v>5.0364651210907327</v>
      </c>
      <c r="S881">
        <v>5.1988244102116825</v>
      </c>
      <c r="T881">
        <v>3.4820984091444362</v>
      </c>
      <c r="U881">
        <f>LN(1+Table1[[#This Row],[Saturation]])</f>
        <v>4.5550103693879693</v>
      </c>
      <c r="V881">
        <v>4.1740476781185132</v>
      </c>
      <c r="W881" t="s">
        <v>26</v>
      </c>
    </row>
    <row r="882" spans="1:23" x14ac:dyDescent="0.3">
      <c r="A882">
        <v>500</v>
      </c>
      <c r="B882">
        <v>168.20568888579101</v>
      </c>
      <c r="C882">
        <v>102.98059907774299</v>
      </c>
      <c r="D882">
        <v>3.0367768557346002</v>
      </c>
      <c r="E882">
        <v>49.560096185078599</v>
      </c>
      <c r="F882">
        <v>19.966922790229699</v>
      </c>
      <c r="G882">
        <v>56.478670984925998</v>
      </c>
      <c r="H882">
        <v>36.306041249634703</v>
      </c>
      <c r="I882">
        <v>98.194605143351296</v>
      </c>
      <c r="J882">
        <v>65.963015249330098</v>
      </c>
      <c r="K882" t="s">
        <v>2</v>
      </c>
      <c r="L882">
        <v>8.0500000000000007</v>
      </c>
      <c r="M882">
        <v>0</v>
      </c>
      <c r="N882">
        <f>LN(1+Table1[[#This Row],[Redness]])</f>
        <v>5.1311150688633553</v>
      </c>
      <c r="O882">
        <f>LN(1+Table1[[#This Row],[Greeness]])</f>
        <v>4.6442043344098609</v>
      </c>
      <c r="P882">
        <f>LN(1+Table1[[#This Row],[Blueness]])</f>
        <v>1.395446565568413</v>
      </c>
      <c r="Q882">
        <f>LN(1+Table1[[#This Row],[L* lab]])</f>
        <v>3.923162652231543</v>
      </c>
      <c r="R882">
        <f>LN(1+Table1[[#This Row],[a* lab]]+128)</f>
        <v>5.0037242866045437</v>
      </c>
      <c r="S882">
        <v>5.2229398942233063</v>
      </c>
      <c r="T882">
        <v>3.6191552773322271</v>
      </c>
      <c r="U882">
        <f>LN(1+Table1[[#This Row],[Saturation]])</f>
        <v>4.5970836291764119</v>
      </c>
      <c r="V882">
        <v>4.2041404557726612</v>
      </c>
    </row>
    <row r="883" spans="1:23" x14ac:dyDescent="0.3">
      <c r="A883">
        <v>500</v>
      </c>
      <c r="B883">
        <v>168.22328888579099</v>
      </c>
      <c r="C883">
        <v>102.78131023364401</v>
      </c>
      <c r="D883">
        <v>3.8814025015776301</v>
      </c>
      <c r="E883">
        <v>49.516701324589199</v>
      </c>
      <c r="F883">
        <v>20.0991092317011</v>
      </c>
      <c r="G883">
        <v>56.268809029733703</v>
      </c>
      <c r="H883">
        <v>36.107620488491499</v>
      </c>
      <c r="I883">
        <v>97.692707991095801</v>
      </c>
      <c r="J883">
        <v>65.969917210114303</v>
      </c>
      <c r="K883" t="s">
        <v>2</v>
      </c>
      <c r="L883">
        <v>8.0500000000000007</v>
      </c>
      <c r="M883">
        <v>0</v>
      </c>
      <c r="N883">
        <f>LN(1+Table1[[#This Row],[Redness]])</f>
        <v>5.1312190788694236</v>
      </c>
      <c r="O883">
        <f>LN(1+Table1[[#This Row],[Greeness]])</f>
        <v>4.6422858989672786</v>
      </c>
      <c r="P883">
        <f>LN(1+Table1[[#This Row],[Blueness]])</f>
        <v>1.5854325764384694</v>
      </c>
      <c r="Q883">
        <f>LN(1+Table1[[#This Row],[L* lab]])</f>
        <v>3.9223040009045373</v>
      </c>
      <c r="R883">
        <f>LN(1+Table1[[#This Row],[a* lab]]+128)</f>
        <v>5.0046112474517139</v>
      </c>
      <c r="S883">
        <v>5.2218077922459809</v>
      </c>
      <c r="T883">
        <v>3.6138223525233419</v>
      </c>
      <c r="U883">
        <f>LN(1+Table1[[#This Row],[Saturation]])</f>
        <v>4.5920110631741249</v>
      </c>
      <c r="V883">
        <v>4.2042435216977259</v>
      </c>
    </row>
    <row r="884" spans="1:23" x14ac:dyDescent="0.3">
      <c r="A884">
        <v>500</v>
      </c>
      <c r="B884">
        <v>166.04391110805301</v>
      </c>
      <c r="C884">
        <v>100.68459959376</v>
      </c>
      <c r="D884">
        <v>2.2656829066500901</v>
      </c>
      <c r="E884">
        <v>48.717120658420697</v>
      </c>
      <c r="F884">
        <v>20.276689657729602</v>
      </c>
      <c r="G884">
        <v>55.946416743143899</v>
      </c>
      <c r="H884">
        <v>36.055677644557598</v>
      </c>
      <c r="I884">
        <v>98.635491725332997</v>
      </c>
      <c r="J884">
        <v>65.115259258060306</v>
      </c>
      <c r="K884" t="s">
        <v>2</v>
      </c>
      <c r="L884">
        <v>8.0500000000000007</v>
      </c>
      <c r="M884">
        <v>0</v>
      </c>
      <c r="N884">
        <f>LN(1+Table1[[#This Row],[Redness]])</f>
        <v>5.1182567186206747</v>
      </c>
      <c r="O884">
        <f>LN(1+Table1[[#This Row],[Greeness]])</f>
        <v>4.6218758618313318</v>
      </c>
      <c r="P884">
        <f>LN(1+Table1[[#This Row],[Blueness]])</f>
        <v>1.1834689006278578</v>
      </c>
      <c r="Q884">
        <f>LN(1+Table1[[#This Row],[L* lab]])</f>
        <v>3.9063493538316596</v>
      </c>
      <c r="R884">
        <f>LN(1+Table1[[#This Row],[a* lab]]+128)</f>
        <v>5.0058015614628131</v>
      </c>
      <c r="S884">
        <v>5.2200661438985341</v>
      </c>
      <c r="T884">
        <v>3.6124215827697088</v>
      </c>
      <c r="U884">
        <f>LN(1+Table1[[#This Row],[Saturation]])</f>
        <v>4.6015184437394234</v>
      </c>
      <c r="V884">
        <v>4.1913995713209236</v>
      </c>
    </row>
    <row r="885" spans="1:23" x14ac:dyDescent="0.3">
      <c r="A885">
        <v>500</v>
      </c>
      <c r="B885">
        <v>162.19591110812399</v>
      </c>
      <c r="C885">
        <v>98.043177965187098</v>
      </c>
      <c r="D885">
        <v>2.6547631358869999</v>
      </c>
      <c r="E885">
        <v>47.562683702450798</v>
      </c>
      <c r="F885">
        <v>20.043063289016501</v>
      </c>
      <c r="G885">
        <v>54.850898874958801</v>
      </c>
      <c r="H885">
        <v>35.873534586537701</v>
      </c>
      <c r="I885">
        <v>98.363236706924596</v>
      </c>
      <c r="J885">
        <v>63.606239650244902</v>
      </c>
      <c r="K885" t="s">
        <v>2</v>
      </c>
      <c r="L885">
        <v>8.0500000000000007</v>
      </c>
      <c r="M885">
        <v>0</v>
      </c>
      <c r="N885">
        <f>LN(1+Table1[[#This Row],[Redness]])</f>
        <v>5.0949513877316033</v>
      </c>
      <c r="O885">
        <f>LN(1+Table1[[#This Row],[Greeness]])</f>
        <v>4.5955558961152176</v>
      </c>
      <c r="P885">
        <f>LN(1+Table1[[#This Row],[Blueness]])</f>
        <v>1.2960312855989016</v>
      </c>
      <c r="Q885">
        <f>LN(1+Table1[[#This Row],[L* lab]])</f>
        <v>3.882855410925361</v>
      </c>
      <c r="R885">
        <f>LN(1+Table1[[#This Row],[a* lab]]+128)</f>
        <v>5.004235279551092</v>
      </c>
      <c r="S885">
        <v>5.2141250969110633</v>
      </c>
      <c r="T885">
        <v>3.607494073844232</v>
      </c>
      <c r="U885">
        <f>LN(1+Table1[[#This Row],[Saturation]])</f>
        <v>4.5987821932073807</v>
      </c>
      <c r="V885">
        <v>4.168310995137217</v>
      </c>
    </row>
    <row r="886" spans="1:23" x14ac:dyDescent="0.3">
      <c r="A886">
        <v>500</v>
      </c>
      <c r="B886">
        <v>163.856888885871</v>
      </c>
      <c r="C886">
        <v>98.146644608599999</v>
      </c>
      <c r="D886">
        <v>2.66389626594676</v>
      </c>
      <c r="E886">
        <v>47.813404281463903</v>
      </c>
      <c r="F886">
        <v>20.7316345302226</v>
      </c>
      <c r="G886">
        <v>55.115164717947799</v>
      </c>
      <c r="H886">
        <v>35.541029466879102</v>
      </c>
      <c r="I886">
        <v>98.374254336171205</v>
      </c>
      <c r="J886">
        <v>64.257603484655604</v>
      </c>
      <c r="K886" t="s">
        <v>2</v>
      </c>
      <c r="L886">
        <v>8.0500000000000007</v>
      </c>
      <c r="M886">
        <v>0</v>
      </c>
      <c r="N886">
        <f>LN(1+Table1[[#This Row],[Redness]])</f>
        <v>5.1050777574579032</v>
      </c>
      <c r="O886">
        <f>LN(1+Table1[[#This Row],[Greeness]])</f>
        <v>4.596600012825844</v>
      </c>
      <c r="P886">
        <f>LN(1+Table1[[#This Row],[Blueness]])</f>
        <v>1.2985271347153469</v>
      </c>
      <c r="Q886">
        <f>LN(1+Table1[[#This Row],[L* lab]])</f>
        <v>3.8880049530408844</v>
      </c>
      <c r="R886">
        <f>LN(1+Table1[[#This Row],[a* lab]]+128)</f>
        <v>5.0088445886079258</v>
      </c>
      <c r="S886">
        <v>5.2155614570245108</v>
      </c>
      <c r="T886">
        <v>3.5984357242497356</v>
      </c>
      <c r="U886">
        <f>LN(1+Table1[[#This Row],[Saturation]])</f>
        <v>4.59889306941096</v>
      </c>
      <c r="V886">
        <v>4.1783425679143535</v>
      </c>
    </row>
    <row r="887" spans="1:23" x14ac:dyDescent="0.3">
      <c r="A887">
        <v>500</v>
      </c>
      <c r="B887">
        <v>165.046044441405</v>
      </c>
      <c r="C887">
        <v>99.461666535276294</v>
      </c>
      <c r="D887">
        <v>4.2063508248474504</v>
      </c>
      <c r="E887">
        <v>48.292724295098203</v>
      </c>
      <c r="F887">
        <v>20.5483842562851</v>
      </c>
      <c r="G887">
        <v>55.167822537208302</v>
      </c>
      <c r="H887">
        <v>35.534256588743901</v>
      </c>
      <c r="I887">
        <v>97.451407672880705</v>
      </c>
      <c r="J887">
        <v>64.723938996629599</v>
      </c>
      <c r="K887" t="s">
        <v>2</v>
      </c>
      <c r="L887">
        <v>8.0500000000000007</v>
      </c>
      <c r="M887">
        <v>0</v>
      </c>
      <c r="N887">
        <f>LN(1+Table1[[#This Row],[Redness]])</f>
        <v>5.1122651260479319</v>
      </c>
      <c r="O887">
        <f>LN(1+Table1[[#This Row],[Greeness]])</f>
        <v>4.6097762272274663</v>
      </c>
      <c r="P887">
        <f>LN(1+Table1[[#This Row],[Blueness]])</f>
        <v>1.6498791928626524</v>
      </c>
      <c r="Q887">
        <f>LN(1+Table1[[#This Row],[L* lab]])</f>
        <v>3.8977764899364802</v>
      </c>
      <c r="R887">
        <f>LN(1+Table1[[#This Row],[a* lab]]+128)</f>
        <v>5.0076199809807163</v>
      </c>
      <c r="S887">
        <v>5.2158474209242387</v>
      </c>
      <c r="T887">
        <v>3.5982503571161897</v>
      </c>
      <c r="U887">
        <f>LN(1+Table1[[#This Row],[Saturation]])</f>
        <v>4.5895631033361974</v>
      </c>
      <c r="V887">
        <v>4.1854632274142043</v>
      </c>
    </row>
    <row r="888" spans="1:23" x14ac:dyDescent="0.3">
      <c r="A888">
        <v>500</v>
      </c>
      <c r="B888">
        <v>161.30024444147401</v>
      </c>
      <c r="C888">
        <v>96.497200534861605</v>
      </c>
      <c r="D888">
        <v>2.5922978594928598</v>
      </c>
      <c r="E888">
        <v>47.068700236199497</v>
      </c>
      <c r="F888">
        <v>20.514976808331902</v>
      </c>
      <c r="G888">
        <v>54.4802780429712</v>
      </c>
      <c r="H888">
        <v>35.501021101118504</v>
      </c>
      <c r="I888">
        <v>98.392874190321805</v>
      </c>
      <c r="J888">
        <v>63.254997820185999</v>
      </c>
      <c r="K888" t="s">
        <v>2</v>
      </c>
      <c r="L888">
        <v>8.0500000000000007</v>
      </c>
      <c r="M888">
        <v>0</v>
      </c>
      <c r="N888">
        <f>LN(1+Table1[[#This Row],[Redness]])</f>
        <v>5.0894479806283082</v>
      </c>
      <c r="O888">
        <f>LN(1+Table1[[#This Row],[Greeness]])</f>
        <v>4.5798236651286333</v>
      </c>
      <c r="P888">
        <f>LN(1+Table1[[#This Row],[Blueness]])</f>
        <v>1.278792070023427</v>
      </c>
      <c r="Q888">
        <f>LN(1+Table1[[#This Row],[L* lab]])</f>
        <v>3.8726312425596459</v>
      </c>
      <c r="R888">
        <f>LN(1+Table1[[#This Row],[a* lab]]+128)</f>
        <v>5.0073965671330738</v>
      </c>
      <c r="S888">
        <v>5.2121071851135392</v>
      </c>
      <c r="T888">
        <v>3.5973402355702522</v>
      </c>
      <c r="U888">
        <f>LN(1+Table1[[#This Row],[Saturation]])</f>
        <v>4.599080422866666</v>
      </c>
      <c r="V888">
        <v>4.1628595078346775</v>
      </c>
    </row>
    <row r="889" spans="1:23" x14ac:dyDescent="0.3">
      <c r="A889">
        <v>500</v>
      </c>
      <c r="B889">
        <v>165.59466666361701</v>
      </c>
      <c r="C889">
        <v>99.569044288921404</v>
      </c>
      <c r="D889">
        <v>4.59509772816976</v>
      </c>
      <c r="E889">
        <v>48.394810580294099</v>
      </c>
      <c r="F889">
        <v>20.738707554263001</v>
      </c>
      <c r="G889">
        <v>55.178183135088403</v>
      </c>
      <c r="H889">
        <v>35.394112116721601</v>
      </c>
      <c r="I889">
        <v>97.225093162267001</v>
      </c>
      <c r="J889">
        <v>64.939084966124497</v>
      </c>
      <c r="K889" t="s">
        <v>2</v>
      </c>
      <c r="L889">
        <v>8.0500000000000007</v>
      </c>
      <c r="M889">
        <v>0</v>
      </c>
      <c r="N889">
        <f>LN(1+Table1[[#This Row],[Redness]])</f>
        <v>5.1155637163968937</v>
      </c>
      <c r="O889">
        <f>LN(1+Table1[[#This Row],[Greeness]])</f>
        <v>4.6108444994672304</v>
      </c>
      <c r="P889">
        <f>LN(1+Table1[[#This Row],[Blueness]])</f>
        <v>1.7218908086658113</v>
      </c>
      <c r="Q889">
        <f>LN(1+Table1[[#This Row],[L* lab]])</f>
        <v>3.8998453696939452</v>
      </c>
      <c r="R889">
        <f>LN(1+Table1[[#This Row],[a* lab]]+128)</f>
        <v>5.0088918254995152</v>
      </c>
      <c r="S889">
        <v>5.2159036756289092</v>
      </c>
      <c r="T889">
        <v>3.5944070065238174</v>
      </c>
      <c r="U889">
        <f>LN(1+Table1[[#This Row],[Saturation]])</f>
        <v>4.5872617139018699</v>
      </c>
      <c r="V889">
        <v>4.1887313607824321</v>
      </c>
    </row>
    <row r="890" spans="1:23" x14ac:dyDescent="0.3">
      <c r="A890">
        <v>500</v>
      </c>
      <c r="B890">
        <v>157.78115555265001</v>
      </c>
      <c r="C890">
        <v>93.166556838966002</v>
      </c>
      <c r="D890">
        <v>2.4985221688549202</v>
      </c>
      <c r="E890">
        <v>45.787514435518602</v>
      </c>
      <c r="F890">
        <v>20.814773565017099</v>
      </c>
      <c r="G890">
        <v>53.4074226692859</v>
      </c>
      <c r="H890">
        <v>35.033422358062303</v>
      </c>
      <c r="I890">
        <v>98.416463512322807</v>
      </c>
      <c r="J890">
        <v>61.874962961823599</v>
      </c>
      <c r="K890" t="s">
        <v>2</v>
      </c>
      <c r="L890">
        <v>8.0500000000000007</v>
      </c>
      <c r="M890">
        <v>0</v>
      </c>
      <c r="N890">
        <f>LN(1+Table1[[#This Row],[Redness]])</f>
        <v>5.0675268739669832</v>
      </c>
      <c r="O890">
        <f>LN(1+Table1[[#This Row],[Greeness]])</f>
        <v>4.5450650956058407</v>
      </c>
      <c r="P890">
        <f>LN(1+Table1[[#This Row],[Blueness]])</f>
        <v>1.2523406418580039</v>
      </c>
      <c r="Q890">
        <f>LN(1+Table1[[#This Row],[L* lab]])</f>
        <v>3.8456163817641595</v>
      </c>
      <c r="R890">
        <f>LN(1+Table1[[#This Row],[a* lab]]+128)</f>
        <v>5.0093996881496494</v>
      </c>
      <c r="S890">
        <v>5.2062427712710386</v>
      </c>
      <c r="T890">
        <v>3.5844469065955264</v>
      </c>
      <c r="U890">
        <f>LN(1+Table1[[#This Row],[Saturation]])</f>
        <v>4.5993177288441851</v>
      </c>
      <c r="V890">
        <v>4.1411480393433653</v>
      </c>
    </row>
    <row r="891" spans="1:23" x14ac:dyDescent="0.3">
      <c r="A891">
        <v>500</v>
      </c>
      <c r="B891">
        <v>158.33191110819499</v>
      </c>
      <c r="C891">
        <v>93.767090037331897</v>
      </c>
      <c r="D891">
        <v>3.7752048651893002</v>
      </c>
      <c r="E891">
        <v>46.011243810541103</v>
      </c>
      <c r="F891">
        <v>20.743502872203798</v>
      </c>
      <c r="G891">
        <v>53.282291962868797</v>
      </c>
      <c r="H891">
        <v>34.935482526646197</v>
      </c>
      <c r="I891">
        <v>97.615638667678596</v>
      </c>
      <c r="J891">
        <v>62.090945532625803</v>
      </c>
      <c r="K891" t="s">
        <v>2</v>
      </c>
      <c r="L891">
        <v>8.0500000000000007</v>
      </c>
      <c r="M891">
        <v>0</v>
      </c>
      <c r="N891">
        <f>LN(1+Table1[[#This Row],[Redness]])</f>
        <v>5.0709895176843141</v>
      </c>
      <c r="O891">
        <f>LN(1+Table1[[#This Row],[Greeness]])</f>
        <v>4.5514221974850058</v>
      </c>
      <c r="P891">
        <f>LN(1+Table1[[#This Row],[Blueness]])</f>
        <v>1.5634368767169216</v>
      </c>
      <c r="Q891">
        <f>LN(1+Table1[[#This Row],[L* lab]])</f>
        <v>3.8503868031106352</v>
      </c>
      <c r="R891">
        <f>LN(1+Table1[[#This Row],[a* lab]]+128)</f>
        <v>5.0089238495582027</v>
      </c>
      <c r="S891">
        <v>5.2055565401748103</v>
      </c>
      <c r="T891">
        <v>3.5817251785927753</v>
      </c>
      <c r="U891">
        <f>LN(1+Table1[[#This Row],[Saturation]])</f>
        <v>4.5912298562090692</v>
      </c>
      <c r="V891">
        <v>4.1445772653147284</v>
      </c>
    </row>
    <row r="892" spans="1:23" x14ac:dyDescent="0.3">
      <c r="A892">
        <v>500</v>
      </c>
      <c r="B892">
        <v>158.68777777485499</v>
      </c>
      <c r="C892">
        <v>94.050778862462806</v>
      </c>
      <c r="D892">
        <v>4.4962110401747797</v>
      </c>
      <c r="E892">
        <v>46.130065204971999</v>
      </c>
      <c r="F892">
        <v>20.754677323358401</v>
      </c>
      <c r="G892">
        <v>53.212880876647901</v>
      </c>
      <c r="H892">
        <v>34.8480411939981</v>
      </c>
      <c r="I892">
        <v>97.166630534990503</v>
      </c>
      <c r="J892">
        <v>62.230501088178698</v>
      </c>
      <c r="K892" t="s">
        <v>2</v>
      </c>
      <c r="L892">
        <v>8.0500000000000007</v>
      </c>
      <c r="M892">
        <v>0</v>
      </c>
      <c r="N892">
        <f>LN(1+Table1[[#This Row],[Redness]])</f>
        <v>5.0732205198867959</v>
      </c>
      <c r="O892">
        <f>LN(1+Table1[[#This Row],[Greeness]])</f>
        <v>4.5544112631403477</v>
      </c>
      <c r="P892">
        <f>LN(1+Table1[[#This Row],[Blueness]])</f>
        <v>1.7040589530501487</v>
      </c>
      <c r="Q892">
        <f>LN(1+Table1[[#This Row],[L* lab]])</f>
        <v>3.8529111244477741</v>
      </c>
      <c r="R892">
        <f>LN(1+Table1[[#This Row],[a* lab]]+128)</f>
        <v>5.0089984707205248</v>
      </c>
      <c r="S892">
        <v>5.2051756786861976</v>
      </c>
      <c r="T892">
        <v>3.5792889266127874</v>
      </c>
      <c r="U892">
        <f>LN(1+Table1[[#This Row],[Saturation]])</f>
        <v>4.5866663463588511</v>
      </c>
      <c r="V892">
        <v>4.1467867968877474</v>
      </c>
    </row>
    <row r="893" spans="1:23" x14ac:dyDescent="0.3">
      <c r="A893">
        <v>500</v>
      </c>
      <c r="B893">
        <v>152.628622219411</v>
      </c>
      <c r="C893">
        <v>89.4453132308562</v>
      </c>
      <c r="D893">
        <v>1.9463789022006599</v>
      </c>
      <c r="E893">
        <v>44.177451500136598</v>
      </c>
      <c r="F893">
        <v>20.594537668902301</v>
      </c>
      <c r="G893">
        <v>52.141365613842702</v>
      </c>
      <c r="H893">
        <v>34.841106318462103</v>
      </c>
      <c r="I893">
        <v>98.724761532995601</v>
      </c>
      <c r="J893">
        <v>59.854361654671301</v>
      </c>
      <c r="K893" t="s">
        <v>2</v>
      </c>
      <c r="L893">
        <v>8.0500000000000007</v>
      </c>
      <c r="M893">
        <v>0</v>
      </c>
      <c r="N893">
        <f>LN(1+Table1[[#This Row],[Redness]])</f>
        <v>5.0345381459282414</v>
      </c>
      <c r="O893">
        <f>LN(1+Table1[[#This Row],[Greeness]])</f>
        <v>4.5047453943667533</v>
      </c>
      <c r="P893">
        <f>LN(1+Table1[[#This Row],[Blueness]])</f>
        <v>1.0805769255884157</v>
      </c>
      <c r="Q893">
        <f>LN(1+Table1[[#This Row],[L* lab]])</f>
        <v>3.8105981017493833</v>
      </c>
      <c r="R893">
        <f>LN(1+Table1[[#This Row],[a* lab]]+128)</f>
        <v>5.0079285519653576</v>
      </c>
      <c r="S893">
        <v>5.1992777519149769</v>
      </c>
      <c r="T893">
        <v>3.5790954558909762</v>
      </c>
      <c r="U893">
        <f>LN(1+Table1[[#This Row],[Saturation]])</f>
        <v>4.6024140065426407</v>
      </c>
      <c r="V893">
        <v>4.1084834956596614</v>
      </c>
    </row>
    <row r="894" spans="1:23" x14ac:dyDescent="0.3">
      <c r="A894">
        <v>500</v>
      </c>
      <c r="B894">
        <v>154.209777774938</v>
      </c>
      <c r="C894">
        <v>89.8042464835207</v>
      </c>
      <c r="D894">
        <v>1.56718734176325</v>
      </c>
      <c r="E894">
        <v>44.482615757336802</v>
      </c>
      <c r="F894">
        <v>21.0980594337681</v>
      </c>
      <c r="G894">
        <v>52.551177754746902</v>
      </c>
      <c r="H894">
        <v>34.6837899794631</v>
      </c>
      <c r="I894">
        <v>98.983730237877296</v>
      </c>
      <c r="J894">
        <v>60.474422656838499</v>
      </c>
      <c r="K894" t="s">
        <v>2</v>
      </c>
      <c r="L894">
        <v>8.0500000000000007</v>
      </c>
      <c r="M894">
        <v>0</v>
      </c>
      <c r="N894">
        <f>LN(1+Table1[[#This Row],[Redness]])</f>
        <v>5.0447776068918087</v>
      </c>
      <c r="O894">
        <f>LN(1+Table1[[#This Row],[Greeness]])</f>
        <v>4.5087060519533404</v>
      </c>
      <c r="P894">
        <f>LN(1+Table1[[#This Row],[Blueness]])</f>
        <v>0.94281088004537472</v>
      </c>
      <c r="Q894">
        <f>LN(1+Table1[[#This Row],[L* lab]])</f>
        <v>3.8173301816817582</v>
      </c>
      <c r="R894">
        <f>LN(1+Table1[[#This Row],[a* lab]]+128)</f>
        <v>5.0112888100666231</v>
      </c>
      <c r="S894">
        <v>5.2015375850590599</v>
      </c>
      <c r="T894">
        <v>3.5746965234682238</v>
      </c>
      <c r="U894">
        <f>LN(1+Table1[[#This Row],[Saturation]])</f>
        <v>4.6050074751301704</v>
      </c>
      <c r="V894">
        <v>4.1186211965467852</v>
      </c>
    </row>
    <row r="895" spans="1:23" x14ac:dyDescent="0.3">
      <c r="A895">
        <v>500</v>
      </c>
      <c r="B895">
        <v>156.077911108237</v>
      </c>
      <c r="C895">
        <v>84.941003132070804</v>
      </c>
      <c r="D895">
        <v>6.2334862630053598</v>
      </c>
      <c r="E895">
        <v>43.621655970181997</v>
      </c>
      <c r="F895">
        <v>24.7436352748011</v>
      </c>
      <c r="G895">
        <v>50.912557261780201</v>
      </c>
      <c r="H895">
        <v>31.515693807237401</v>
      </c>
      <c r="I895">
        <v>96.006170111616498</v>
      </c>
      <c r="J895">
        <v>61.207023964014603</v>
      </c>
      <c r="K895" t="s">
        <v>2</v>
      </c>
      <c r="L895" s="3">
        <v>8.0500000000000007</v>
      </c>
      <c r="M895">
        <v>0</v>
      </c>
      <c r="N895">
        <f>LN(1+Table1[[#This Row],[Redness]])</f>
        <v>5.0567419313544963</v>
      </c>
      <c r="O895">
        <f>LN(1+Table1[[#This Row],[Greeness]])</f>
        <v>4.4536610507487149</v>
      </c>
      <c r="P895">
        <f>LN(1+Table1[[#This Row],[Blueness]])</f>
        <v>1.9787211140057792</v>
      </c>
      <c r="Q895">
        <f>LN(1+Table1[[#This Row],[L* lab]])</f>
        <v>3.7982193010495227</v>
      </c>
      <c r="R895">
        <f>LN(1+Table1[[#This Row],[a* lab]]+128)</f>
        <v>5.0352865092431056</v>
      </c>
      <c r="S895">
        <v>5.1924709398644566</v>
      </c>
      <c r="T895">
        <v>3.4817228591601204</v>
      </c>
      <c r="U895">
        <f>LN(1+Table1[[#This Row],[Saturation]])</f>
        <v>4.5747745858784992</v>
      </c>
      <c r="V895">
        <v>4.1304679188360058</v>
      </c>
      <c r="W895" t="s">
        <v>26</v>
      </c>
    </row>
    <row r="896" spans="1:23" x14ac:dyDescent="0.3">
      <c r="A896">
        <v>500</v>
      </c>
      <c r="B896">
        <v>153.74142221939101</v>
      </c>
      <c r="C896">
        <v>82.330914829788796</v>
      </c>
      <c r="D896">
        <v>6.1675682856792697</v>
      </c>
      <c r="E896">
        <v>42.679098350963301</v>
      </c>
      <c r="F896">
        <v>25.1714260127217</v>
      </c>
      <c r="G896">
        <v>50.124212425320103</v>
      </c>
      <c r="H896">
        <v>30.966195371567999</v>
      </c>
      <c r="I896">
        <v>95.988349660979395</v>
      </c>
      <c r="J896">
        <v>60.290753811526002</v>
      </c>
      <c r="K896" t="s">
        <v>2</v>
      </c>
      <c r="L896" s="3">
        <v>8.0500000000000007</v>
      </c>
      <c r="M896">
        <v>0</v>
      </c>
      <c r="N896">
        <f>LN(1+Table1[[#This Row],[Redness]])</f>
        <v>5.0417554801052509</v>
      </c>
      <c r="O896">
        <f>LN(1+Table1[[#This Row],[Greeness]])</f>
        <v>4.4228196067304548</v>
      </c>
      <c r="P896">
        <f>LN(1+Table1[[#This Row],[Blueness]])</f>
        <v>1.9695664458565163</v>
      </c>
      <c r="Q896">
        <f>LN(1+Table1[[#This Row],[L* lab]])</f>
        <v>3.7768696890753213</v>
      </c>
      <c r="R896">
        <f>LN(1+Table1[[#This Row],[a* lab]]+128)</f>
        <v>5.0380651392417279</v>
      </c>
      <c r="S896">
        <v>5.188079489350506</v>
      </c>
      <c r="T896">
        <v>3.4646789497831305</v>
      </c>
      <c r="U896">
        <f>LN(1+Table1[[#This Row],[Saturation]])</f>
        <v>4.5745908647021674</v>
      </c>
      <c r="V896">
        <v>4.1156289965169002</v>
      </c>
      <c r="W896" t="s">
        <v>26</v>
      </c>
    </row>
    <row r="897" spans="1:23" x14ac:dyDescent="0.3">
      <c r="A897">
        <v>500</v>
      </c>
      <c r="B897">
        <v>152.37003888608299</v>
      </c>
      <c r="C897">
        <v>80.936598476489195</v>
      </c>
      <c r="D897">
        <v>5.9964304279809797</v>
      </c>
      <c r="E897">
        <v>42.155326902850902</v>
      </c>
      <c r="F897">
        <v>25.344364388469302</v>
      </c>
      <c r="G897">
        <v>49.706829998948798</v>
      </c>
      <c r="H897">
        <v>30.718721293241401</v>
      </c>
      <c r="I897">
        <v>96.064560676220495</v>
      </c>
      <c r="J897">
        <v>59.752956425915002</v>
      </c>
      <c r="K897" t="s">
        <v>2</v>
      </c>
      <c r="L897" s="3">
        <v>8.0500000000000007</v>
      </c>
      <c r="M897">
        <v>0</v>
      </c>
      <c r="N897">
        <f>LN(1+Table1[[#This Row],[Redness]])</f>
        <v>5.0328535562069154</v>
      </c>
      <c r="O897">
        <f>LN(1+Table1[[#This Row],[Greeness]])</f>
        <v>4.4059457588881248</v>
      </c>
      <c r="P897">
        <f>LN(1+Table1[[#This Row],[Blueness]])</f>
        <v>1.9454000801324149</v>
      </c>
      <c r="Q897">
        <f>LN(1+Table1[[#This Row],[L* lab]])</f>
        <v>3.7648058607292678</v>
      </c>
      <c r="R897">
        <f>LN(1+Table1[[#This Row],[a* lab]]+128)</f>
        <v>5.0391862383831105</v>
      </c>
      <c r="S897">
        <v>5.1857466419103693</v>
      </c>
      <c r="T897">
        <v>3.4569070836350866</v>
      </c>
      <c r="U897">
        <f>LN(1+Table1[[#This Row],[Saturation]])</f>
        <v>4.5753763310889068</v>
      </c>
      <c r="V897">
        <v>4.1068157464836936</v>
      </c>
      <c r="W897" t="s">
        <v>26</v>
      </c>
    </row>
    <row r="898" spans="1:23" x14ac:dyDescent="0.3">
      <c r="A898">
        <v>600</v>
      </c>
      <c r="B898">
        <v>152.59199999718999</v>
      </c>
      <c r="C898">
        <v>83.738647846739795</v>
      </c>
      <c r="D898">
        <v>5.6185416163264197</v>
      </c>
      <c r="E898">
        <v>42.834075057637001</v>
      </c>
      <c r="F898">
        <v>23.869054070334101</v>
      </c>
      <c r="G898">
        <v>50.261151110195897</v>
      </c>
      <c r="H898">
        <v>31.891515825112201</v>
      </c>
      <c r="I898">
        <v>96.317931728773502</v>
      </c>
      <c r="J898">
        <v>59.839999998898101</v>
      </c>
      <c r="K898" t="s">
        <v>2</v>
      </c>
      <c r="L898">
        <v>9.66</v>
      </c>
      <c r="M898">
        <v>0</v>
      </c>
      <c r="N898">
        <f>LN(1+Table1[[#This Row],[Redness]])</f>
        <v>5.0342997360055595</v>
      </c>
      <c r="O898">
        <f>LN(1+Table1[[#This Row],[Greeness]])</f>
        <v>4.4395717885775952</v>
      </c>
      <c r="P898">
        <f>LN(1+Table1[[#This Row],[Blueness]])</f>
        <v>1.8898750460308078</v>
      </c>
      <c r="Q898">
        <f>LN(1+Table1[[#This Row],[L* lab]])</f>
        <v>3.780411484273547</v>
      </c>
      <c r="R898">
        <f>LN(1+Table1[[#This Row],[a* lab]]+128)</f>
        <v>5.0295816991893503</v>
      </c>
      <c r="S898">
        <v>5.1888436873645611</v>
      </c>
      <c r="T898">
        <v>3.4932147468590018</v>
      </c>
      <c r="U898">
        <f>LN(1+Table1[[#This Row],[Saturation]])</f>
        <v>4.5779832654163028</v>
      </c>
      <c r="V898">
        <v>4.1082474673729807</v>
      </c>
    </row>
    <row r="899" spans="1:23" x14ac:dyDescent="0.3">
      <c r="A899">
        <v>600</v>
      </c>
      <c r="B899">
        <v>154.88977777492499</v>
      </c>
      <c r="C899">
        <v>83.889758923889303</v>
      </c>
      <c r="D899">
        <v>4.1911956065974296</v>
      </c>
      <c r="E899">
        <v>43.200362214017503</v>
      </c>
      <c r="F899">
        <v>24.7747088951986</v>
      </c>
      <c r="G899">
        <v>51.053009600712699</v>
      </c>
      <c r="H899">
        <v>31.731644254596699</v>
      </c>
      <c r="I899">
        <v>97.294078623646897</v>
      </c>
      <c r="J899">
        <v>60.741089323500297</v>
      </c>
      <c r="K899" t="s">
        <v>2</v>
      </c>
      <c r="L899">
        <v>9.66</v>
      </c>
      <c r="M899">
        <v>0</v>
      </c>
      <c r="N899">
        <f>LN(1+Table1[[#This Row],[Redness]])</f>
        <v>5.0491492047986837</v>
      </c>
      <c r="O899">
        <f>LN(1+Table1[[#This Row],[Greeness]])</f>
        <v>4.4413534608811878</v>
      </c>
      <c r="P899">
        <f>LN(1+Table1[[#This Row],[Blueness]])</f>
        <v>1.6469640380071244</v>
      </c>
      <c r="Q899">
        <f>LN(1+Table1[[#This Row],[L* lab]])</f>
        <v>3.7887329839373485</v>
      </c>
      <c r="R899">
        <f>LN(1+Table1[[#This Row],[a* lab]]+128)</f>
        <v>5.0354886020358922</v>
      </c>
      <c r="S899">
        <v>5.1932513053159877</v>
      </c>
      <c r="T899">
        <v>3.4883423241775233</v>
      </c>
      <c r="U899">
        <f>LN(1+Table1[[#This Row],[Saturation]])</f>
        <v>4.5879637875325141</v>
      </c>
      <c r="V899">
        <v>4.122949662642049</v>
      </c>
    </row>
    <row r="900" spans="1:23" x14ac:dyDescent="0.3">
      <c r="A900">
        <v>600</v>
      </c>
      <c r="B900">
        <v>149.98204444168201</v>
      </c>
      <c r="C900">
        <v>80.982026244057295</v>
      </c>
      <c r="D900">
        <v>3.98195581914556</v>
      </c>
      <c r="E900">
        <v>41.806008262620502</v>
      </c>
      <c r="F900">
        <v>24.2337670799036</v>
      </c>
      <c r="G900">
        <v>49.832557145591501</v>
      </c>
      <c r="H900">
        <v>31.643845350252299</v>
      </c>
      <c r="I900">
        <v>97.345044979238196</v>
      </c>
      <c r="J900">
        <v>58.816488016346199</v>
      </c>
      <c r="K900" t="s">
        <v>2</v>
      </c>
      <c r="L900">
        <v>9.66</v>
      </c>
      <c r="M900">
        <v>0</v>
      </c>
      <c r="N900">
        <f>LN(1+Table1[[#This Row],[Redness]])</f>
        <v>5.0171609187622144</v>
      </c>
      <c r="O900">
        <f>LN(1+Table1[[#This Row],[Greeness]])</f>
        <v>4.4065000310925013</v>
      </c>
      <c r="P900">
        <f>LN(1+Table1[[#This Row],[Blueness]])</f>
        <v>1.6058225487046331</v>
      </c>
      <c r="Q900">
        <f>LN(1+Table1[[#This Row],[L* lab]])</f>
        <v>3.7566784727031743</v>
      </c>
      <c r="R900">
        <f>LN(1+Table1[[#This Row],[a* lab]]+128)</f>
        <v>5.0319646447681086</v>
      </c>
      <c r="S900">
        <v>5.1864499331076219</v>
      </c>
      <c r="T900">
        <v>3.4856563341326052</v>
      </c>
      <c r="U900">
        <f>LN(1+Table1[[#This Row],[Saturation]])</f>
        <v>4.5884821620634701</v>
      </c>
      <c r="V900">
        <v>4.0912813422898884</v>
      </c>
    </row>
    <row r="901" spans="1:23" x14ac:dyDescent="0.3">
      <c r="A901">
        <v>600</v>
      </c>
      <c r="B901">
        <v>149.71448888613199</v>
      </c>
      <c r="C901">
        <v>80.714470748633701</v>
      </c>
      <c r="D901">
        <v>3.7144062183681101</v>
      </c>
      <c r="E901">
        <v>41.703714791835303</v>
      </c>
      <c r="F901">
        <v>24.260979417376198</v>
      </c>
      <c r="G901">
        <v>49.819020717822099</v>
      </c>
      <c r="H901">
        <v>31.643844218425201</v>
      </c>
      <c r="I901">
        <v>97.519006846963705</v>
      </c>
      <c r="J901">
        <v>58.711564269071403</v>
      </c>
      <c r="K901" t="s">
        <v>2</v>
      </c>
      <c r="L901">
        <v>9.66</v>
      </c>
      <c r="M901">
        <v>0</v>
      </c>
      <c r="N901">
        <f>LN(1+Table1[[#This Row],[Redness]])</f>
        <v>5.0153872449135886</v>
      </c>
      <c r="O901">
        <f>LN(1+Table1[[#This Row],[Greeness]])</f>
        <v>4.4032311067282777</v>
      </c>
      <c r="P901">
        <f>LN(1+Table1[[#This Row],[Blueness]])</f>
        <v>1.5506229735565014</v>
      </c>
      <c r="Q901">
        <f>LN(1+Table1[[#This Row],[L* lab]])</f>
        <v>3.7542859139173874</v>
      </c>
      <c r="R901">
        <f>LN(1+Table1[[#This Row],[a* lab]]+128)</f>
        <v>5.0321422160828213</v>
      </c>
      <c r="S901">
        <v>5.1863742369350696</v>
      </c>
      <c r="T901">
        <v>3.4856562994606142</v>
      </c>
      <c r="U901">
        <f>LN(1+Table1[[#This Row],[Saturation]])</f>
        <v>4.5902494924764321</v>
      </c>
      <c r="V901">
        <v>4.0895257079895089</v>
      </c>
    </row>
    <row r="902" spans="1:23" x14ac:dyDescent="0.3">
      <c r="A902">
        <v>600</v>
      </c>
      <c r="B902">
        <v>154.012799997164</v>
      </c>
      <c r="C902">
        <v>83.012781343208701</v>
      </c>
      <c r="D902">
        <v>3.8660472877788501</v>
      </c>
      <c r="E902">
        <v>42.868676838455201</v>
      </c>
      <c r="F902">
        <v>24.873147682251499</v>
      </c>
      <c r="G902">
        <v>50.855709059254401</v>
      </c>
      <c r="H902">
        <v>31.6277505682542</v>
      </c>
      <c r="I902">
        <v>97.489788324184701</v>
      </c>
      <c r="J902">
        <v>60.397176469476101</v>
      </c>
      <c r="K902" t="s">
        <v>2</v>
      </c>
      <c r="L902">
        <v>9.66</v>
      </c>
      <c r="M902">
        <v>0</v>
      </c>
      <c r="N902">
        <f>LN(1+Table1[[#This Row],[Redness]])</f>
        <v>5.0435076941365189</v>
      </c>
      <c r="O902">
        <f>LN(1+Table1[[#This Row],[Greeness]])</f>
        <v>4.4309689461160531</v>
      </c>
      <c r="P902">
        <f>LN(1+Table1[[#This Row],[Blueness]])</f>
        <v>1.5822819623122311</v>
      </c>
      <c r="Q902">
        <f>LN(1+Table1[[#This Row],[L* lab]])</f>
        <v>3.7812005537580378</v>
      </c>
      <c r="R902">
        <f>LN(1+Table1[[#This Row],[a* lab]]+128)</f>
        <v>5.0361285466238863</v>
      </c>
      <c r="S902">
        <v>5.1921549130865516</v>
      </c>
      <c r="T902">
        <v>3.4851631706945794</v>
      </c>
      <c r="U902">
        <f>LN(1+Table1[[#This Row],[Saturation]])</f>
        <v>4.5899528709680588</v>
      </c>
      <c r="V902">
        <v>4.1173638482565638</v>
      </c>
    </row>
    <row r="903" spans="1:23" x14ac:dyDescent="0.3">
      <c r="A903">
        <v>600</v>
      </c>
      <c r="B903">
        <v>150.44906666389599</v>
      </c>
      <c r="C903">
        <v>80.830026278218597</v>
      </c>
      <c r="D903">
        <v>3.3366368484996198</v>
      </c>
      <c r="E903">
        <v>41.838054164142299</v>
      </c>
      <c r="F903">
        <v>24.513747495381399</v>
      </c>
      <c r="G903">
        <v>50.066041380939303</v>
      </c>
      <c r="H903">
        <v>31.605781860973</v>
      </c>
      <c r="I903">
        <v>97.7822149897721</v>
      </c>
      <c r="J903">
        <v>58.999633985841697</v>
      </c>
      <c r="K903" t="s">
        <v>2</v>
      </c>
      <c r="L903">
        <v>9.66</v>
      </c>
      <c r="M903">
        <v>0</v>
      </c>
      <c r="N903">
        <f>LN(1+Table1[[#This Row],[Redness]])</f>
        <v>5.0202493747860233</v>
      </c>
      <c r="O903">
        <f>LN(1+Table1[[#This Row],[Greeness]])</f>
        <v>4.4046442456710801</v>
      </c>
      <c r="P903">
        <f>LN(1+Table1[[#This Row],[Blueness]])</f>
        <v>1.4670991280062904</v>
      </c>
      <c r="Q903">
        <f>LN(1+Table1[[#This Row],[L* lab]])</f>
        <v>3.7574268235429011</v>
      </c>
      <c r="R903">
        <f>LN(1+Table1[[#This Row],[a* lab]]+128)</f>
        <v>5.0337901232474715</v>
      </c>
      <c r="S903">
        <v>5.1877546840590494</v>
      </c>
      <c r="T903">
        <v>3.4844896303452031</v>
      </c>
      <c r="U903">
        <f>LN(1+Table1[[#This Row],[Saturation]])</f>
        <v>4.592917578325058</v>
      </c>
      <c r="V903">
        <v>4.0943384619675225</v>
      </c>
    </row>
    <row r="904" spans="1:23" x14ac:dyDescent="0.3">
      <c r="A904">
        <v>600</v>
      </c>
      <c r="B904">
        <v>151.871288886092</v>
      </c>
      <c r="C904">
        <v>81.359092825979701</v>
      </c>
      <c r="D904">
        <v>3.1211749773087498</v>
      </c>
      <c r="E904">
        <v>42.169820425167103</v>
      </c>
      <c r="F904">
        <v>24.841278529345001</v>
      </c>
      <c r="G904">
        <v>50.447097387590503</v>
      </c>
      <c r="H904">
        <v>31.5581275709064</v>
      </c>
      <c r="I904">
        <v>97.944855146617101</v>
      </c>
      <c r="J904">
        <v>59.557368190624501</v>
      </c>
      <c r="K904" t="s">
        <v>2</v>
      </c>
      <c r="L904">
        <v>9.66</v>
      </c>
      <c r="M904">
        <v>0</v>
      </c>
      <c r="N904">
        <f>LN(1+Table1[[#This Row],[Redness]])</f>
        <v>5.0295963182333168</v>
      </c>
      <c r="O904">
        <f>LN(1+Table1[[#This Row],[Greeness]])</f>
        <v>4.4110888673585142</v>
      </c>
      <c r="P904">
        <f>LN(1+Table1[[#This Row],[Blueness]])</f>
        <v>1.4161383113700494</v>
      </c>
      <c r="Q904">
        <f>LN(1+Table1[[#This Row],[L* lab]])</f>
        <v>3.765141649845209</v>
      </c>
      <c r="R904">
        <f>LN(1+Table1[[#This Row],[a* lab]]+128)</f>
        <v>5.0359214120191638</v>
      </c>
      <c r="S904">
        <v>5.1898804424145428</v>
      </c>
      <c r="T904">
        <v>3.4830270324447024</v>
      </c>
      <c r="U904">
        <f>LN(1+Table1[[#This Row],[Saturation]])</f>
        <v>4.5945626762209901</v>
      </c>
      <c r="V904">
        <v>4.1035911503021856</v>
      </c>
    </row>
    <row r="905" spans="1:23" x14ac:dyDescent="0.3">
      <c r="A905">
        <v>600</v>
      </c>
      <c r="B905">
        <v>148.533333330598</v>
      </c>
      <c r="C905">
        <v>79.533315458538098</v>
      </c>
      <c r="D905">
        <v>3.1842846838044201</v>
      </c>
      <c r="E905">
        <v>41.253642582252603</v>
      </c>
      <c r="F905">
        <v>24.392325563120899</v>
      </c>
      <c r="G905">
        <v>49.589497147557402</v>
      </c>
      <c r="H905">
        <v>31.5168340565885</v>
      </c>
      <c r="I905">
        <v>97.856181765801296</v>
      </c>
      <c r="J905">
        <v>58.248366011999302</v>
      </c>
      <c r="K905" t="s">
        <v>2</v>
      </c>
      <c r="L905">
        <v>9.66</v>
      </c>
      <c r="M905">
        <v>0</v>
      </c>
      <c r="N905">
        <f>LN(1+Table1[[#This Row],[Redness]])</f>
        <v>5.0075193333997055</v>
      </c>
      <c r="O905">
        <f>LN(1+Table1[[#This Row],[Greeness]])</f>
        <v>4.3886709554372869</v>
      </c>
      <c r="P905">
        <f>LN(1+Table1[[#This Row],[Blueness]])</f>
        <v>1.4313357655101755</v>
      </c>
      <c r="Q905">
        <f>LN(1+Table1[[#This Row],[L* lab]])</f>
        <v>3.7436905650514452</v>
      </c>
      <c r="R905">
        <f>LN(1+Table1[[#This Row],[a* lab]]+128)</f>
        <v>5.0329988587580745</v>
      </c>
      <c r="S905">
        <v>5.1850898601485964</v>
      </c>
      <c r="T905">
        <v>3.4817579262069867</v>
      </c>
      <c r="U905">
        <f>LN(1+Table1[[#This Row],[Saturation]])</f>
        <v>4.5936660844928561</v>
      </c>
      <c r="V905">
        <v>4.0817382017784123</v>
      </c>
    </row>
    <row r="906" spans="1:23" x14ac:dyDescent="0.3">
      <c r="A906">
        <v>600</v>
      </c>
      <c r="B906">
        <v>152.118222219421</v>
      </c>
      <c r="C906">
        <v>81.856692714146106</v>
      </c>
      <c r="D906">
        <v>4.8226482191964299</v>
      </c>
      <c r="E906">
        <v>42.327665017350498</v>
      </c>
      <c r="F906">
        <v>24.699472070543202</v>
      </c>
      <c r="G906">
        <v>50.097858881031598</v>
      </c>
      <c r="H906">
        <v>31.3793724018477</v>
      </c>
      <c r="I906">
        <v>96.829670930389796</v>
      </c>
      <c r="J906">
        <v>59.654204791929899</v>
      </c>
      <c r="K906" t="s">
        <v>2</v>
      </c>
      <c r="L906">
        <v>9.66</v>
      </c>
      <c r="M906">
        <v>0</v>
      </c>
      <c r="N906">
        <f>LN(1+Table1[[#This Row],[Redness]])</f>
        <v>5.0312103172625111</v>
      </c>
      <c r="O906">
        <f>LN(1+Table1[[#This Row],[Greeness]])</f>
        <v>4.4171125217100888</v>
      </c>
      <c r="P906">
        <f>LN(1+Table1[[#This Row],[Blueness]])</f>
        <v>1.7617551787334063</v>
      </c>
      <c r="Q906">
        <f>LN(1+Table1[[#This Row],[L* lab]])</f>
        <v>3.7687913459395412</v>
      </c>
      <c r="R906">
        <f>LN(1+Table1[[#This Row],[a* lab]]+128)</f>
        <v>5.0349992157341177</v>
      </c>
      <c r="S906">
        <v>5.1879323541154267</v>
      </c>
      <c r="T906">
        <v>3.4775215657839387</v>
      </c>
      <c r="U906">
        <f>LN(1+Table1[[#This Row],[Saturation]])</f>
        <v>4.5832279147755459</v>
      </c>
      <c r="V906">
        <v>4.1051889617903896</v>
      </c>
    </row>
    <row r="907" spans="1:23" x14ac:dyDescent="0.3">
      <c r="A907">
        <v>600</v>
      </c>
      <c r="B907">
        <v>148.95075555281201</v>
      </c>
      <c r="C907">
        <v>79.950737586946403</v>
      </c>
      <c r="D907">
        <v>4.3906578338879898</v>
      </c>
      <c r="E907">
        <v>41.416374393516499</v>
      </c>
      <c r="F907">
        <v>24.363840989234198</v>
      </c>
      <c r="G907">
        <v>49.381293014351002</v>
      </c>
      <c r="H907">
        <v>31.361384342714</v>
      </c>
      <c r="I907">
        <v>97.052275554029507</v>
      </c>
      <c r="J907">
        <v>58.412061001103098</v>
      </c>
      <c r="K907" t="s">
        <v>2</v>
      </c>
      <c r="L907">
        <v>9.66</v>
      </c>
      <c r="M907">
        <v>0</v>
      </c>
      <c r="N907">
        <f>LN(1+Table1[[#This Row],[Redness]])</f>
        <v>5.0103069438806367</v>
      </c>
      <c r="O907">
        <f>LN(1+Table1[[#This Row],[Greeness]])</f>
        <v>4.3938407917182838</v>
      </c>
      <c r="P907">
        <f>LN(1+Table1[[#This Row],[Blueness]])</f>
        <v>1.684667424577287</v>
      </c>
      <c r="Q907">
        <f>LN(1+Table1[[#This Row],[L* lab]])</f>
        <v>3.7475344762126492</v>
      </c>
      <c r="R907">
        <f>LN(1+Table1[[#This Row],[a* lab]]+128)</f>
        <v>5.0328131439977906</v>
      </c>
      <c r="S907">
        <v>5.1839233548627091</v>
      </c>
      <c r="T907">
        <v>3.4769658707163771</v>
      </c>
      <c r="U907">
        <f>LN(1+Table1[[#This Row],[Saturation]])</f>
        <v>4.5855007604712616</v>
      </c>
      <c r="V907">
        <v>4.0844972529139332</v>
      </c>
    </row>
    <row r="908" spans="1:23" x14ac:dyDescent="0.3">
      <c r="A908">
        <v>600</v>
      </c>
      <c r="B908">
        <v>147.01102221951501</v>
      </c>
      <c r="C908">
        <v>78.011004689560295</v>
      </c>
      <c r="D908">
        <v>3.0109552082177</v>
      </c>
      <c r="E908">
        <v>40.6748960905758</v>
      </c>
      <c r="F908">
        <v>24.570599129658302</v>
      </c>
      <c r="G908">
        <v>49.1508814347211</v>
      </c>
      <c r="H908">
        <v>31.250006074840901</v>
      </c>
      <c r="I908">
        <v>97.951884720778395</v>
      </c>
      <c r="J908">
        <v>57.651381262554999</v>
      </c>
      <c r="K908" t="s">
        <v>2</v>
      </c>
      <c r="L908">
        <v>9.66</v>
      </c>
      <c r="M908">
        <v>0</v>
      </c>
      <c r="N908">
        <f>LN(1+Table1[[#This Row],[Redness]])</f>
        <v>4.9972867454472132</v>
      </c>
      <c r="O908">
        <f>LN(1+Table1[[#This Row],[Greeness]])</f>
        <v>4.3695871426335477</v>
      </c>
      <c r="P908">
        <f>LN(1+Table1[[#This Row],[Blueness]])</f>
        <v>1.3890294194898849</v>
      </c>
      <c r="Q908">
        <f>LN(1+Table1[[#This Row],[L* lab]])</f>
        <v>3.7298989353062342</v>
      </c>
      <c r="R908">
        <f>LN(1+Table1[[#This Row],[a* lab]]+128)</f>
        <v>5.0341603904756855</v>
      </c>
      <c r="S908">
        <v>5.1826308397506411</v>
      </c>
      <c r="T908">
        <v>3.4735182316089235</v>
      </c>
      <c r="U908">
        <f>LN(1+Table1[[#This Row],[Saturation]])</f>
        <v>4.5946337190705986</v>
      </c>
      <c r="V908">
        <v>4.07161112576087</v>
      </c>
    </row>
    <row r="909" spans="1:23" x14ac:dyDescent="0.3">
      <c r="A909">
        <v>600</v>
      </c>
      <c r="B909">
        <v>151.131377774995</v>
      </c>
      <c r="C909">
        <v>80.838559609634103</v>
      </c>
      <c r="D909">
        <v>4.64736323157745</v>
      </c>
      <c r="E909">
        <v>41.946238410019802</v>
      </c>
      <c r="F909">
        <v>24.831536614255</v>
      </c>
      <c r="G909">
        <v>49.819907883115597</v>
      </c>
      <c r="H909">
        <v>31.207990830483599</v>
      </c>
      <c r="I909">
        <v>96.924951456145294</v>
      </c>
      <c r="J909">
        <v>59.267206970586201</v>
      </c>
      <c r="K909" t="s">
        <v>2</v>
      </c>
      <c r="L909">
        <v>9.66</v>
      </c>
      <c r="M909">
        <v>0</v>
      </c>
      <c r="N909">
        <f>LN(1+Table1[[#This Row],[Redness]])</f>
        <v>5.0247444749974592</v>
      </c>
      <c r="O909">
        <f>LN(1+Table1[[#This Row],[Greeness]])</f>
        <v>4.4047485214107036</v>
      </c>
      <c r="P909">
        <f>LN(1+Table1[[#This Row],[Blueness]])</f>
        <v>1.7311887515506061</v>
      </c>
      <c r="Q909">
        <f>LN(1+Table1[[#This Row],[L* lab]])</f>
        <v>3.7599490639201103</v>
      </c>
      <c r="R909">
        <f>LN(1+Table1[[#This Row],[a* lab]]+128)</f>
        <v>5.0358580855592763</v>
      </c>
      <c r="S909">
        <v>5.1863791981695577</v>
      </c>
      <c r="T909">
        <v>3.472214584200537</v>
      </c>
      <c r="U909">
        <f>LN(1+Table1[[#This Row],[Saturation]])</f>
        <v>4.5842013838269349</v>
      </c>
      <c r="V909">
        <v>4.0987881244696824</v>
      </c>
    </row>
    <row r="910" spans="1:23" x14ac:dyDescent="0.3">
      <c r="A910">
        <v>600</v>
      </c>
      <c r="B910">
        <v>157.783466663761</v>
      </c>
      <c r="C910">
        <v>83.201936856252303</v>
      </c>
      <c r="D910">
        <v>3.2073980582652801</v>
      </c>
      <c r="E910">
        <v>43.469773058323</v>
      </c>
      <c r="F910">
        <v>26.403090404817998</v>
      </c>
      <c r="G910">
        <v>51.721246655933598</v>
      </c>
      <c r="H910">
        <v>31.0505524637761</v>
      </c>
      <c r="I910">
        <v>97.967215370479593</v>
      </c>
      <c r="J910">
        <v>61.875869279906397</v>
      </c>
      <c r="K910" t="s">
        <v>2</v>
      </c>
      <c r="L910">
        <v>9.66</v>
      </c>
      <c r="M910">
        <v>0</v>
      </c>
      <c r="N910">
        <f>LN(1+Table1[[#This Row],[Redness]])</f>
        <v>5.0675414291847209</v>
      </c>
      <c r="O910">
        <f>LN(1+Table1[[#This Row],[Greeness]])</f>
        <v>4.4332179240270913</v>
      </c>
      <c r="P910">
        <f>LN(1+Table1[[#This Row],[Blueness]])</f>
        <v>1.4368444182130222</v>
      </c>
      <c r="Q910">
        <f>LN(1+Table1[[#This Row],[L* lab]])</f>
        <v>3.7948097012562214</v>
      </c>
      <c r="R910">
        <f>LN(1+Table1[[#This Row],[a* lab]]+128)</f>
        <v>5.0460223245106981</v>
      </c>
      <c r="S910">
        <v>5.1969557704091596</v>
      </c>
      <c r="T910">
        <v>3.4673144207774307</v>
      </c>
      <c r="U910">
        <f>LN(1+Table1[[#This Row],[Saturation]])</f>
        <v>4.5947886374157694</v>
      </c>
      <c r="V910">
        <v>4.1411624538496818</v>
      </c>
      <c r="W910" t="s">
        <v>26</v>
      </c>
    </row>
    <row r="911" spans="1:23" x14ac:dyDescent="0.3">
      <c r="A911">
        <v>600</v>
      </c>
      <c r="B911">
        <v>158.40619999708301</v>
      </c>
      <c r="C911">
        <v>82.845736936306807</v>
      </c>
      <c r="D911">
        <v>1.8887551847159401</v>
      </c>
      <c r="E911">
        <v>43.477228742898802</v>
      </c>
      <c r="F911">
        <v>26.851025850518901</v>
      </c>
      <c r="G911">
        <v>52.119388606668402</v>
      </c>
      <c r="H911">
        <v>31.034361127722899</v>
      </c>
      <c r="I911">
        <v>98.807650720268001</v>
      </c>
      <c r="J911">
        <v>62.120078430228702</v>
      </c>
      <c r="K911" t="s">
        <v>2</v>
      </c>
      <c r="L911">
        <v>9.66</v>
      </c>
      <c r="M911">
        <v>0</v>
      </c>
      <c r="N911">
        <f>LN(1+Table1[[#This Row],[Redness]])</f>
        <v>5.0714556614408641</v>
      </c>
      <c r="O911">
        <f>LN(1+Table1[[#This Row],[Greeness]])</f>
        <v>4.4289786454300142</v>
      </c>
      <c r="P911">
        <f>LN(1+Table1[[#This Row],[Blueness]])</f>
        <v>1.0608256774004949</v>
      </c>
      <c r="Q911">
        <f>LN(1+Table1[[#This Row],[L* lab]])</f>
        <v>3.7949773445593635</v>
      </c>
      <c r="R911">
        <f>LN(1+Table1[[#This Row],[a* lab]]+128)</f>
        <v>5.0489005884856768</v>
      </c>
      <c r="S911">
        <v>5.1991564193833941</v>
      </c>
      <c r="T911">
        <v>3.4668091119460596</v>
      </c>
      <c r="U911">
        <f>LN(1+Table1[[#This Row],[Saturation]])</f>
        <v>4.6032448409028781</v>
      </c>
      <c r="V911">
        <v>4.1450389190943362</v>
      </c>
      <c r="W911" t="s">
        <v>26</v>
      </c>
    </row>
    <row r="912" spans="1:23" x14ac:dyDescent="0.3">
      <c r="A912">
        <v>600</v>
      </c>
      <c r="B912">
        <v>154.86975555270399</v>
      </c>
      <c r="C912">
        <v>81.354092827103401</v>
      </c>
      <c r="D912">
        <v>3.4052742097455799</v>
      </c>
      <c r="E912">
        <v>42.616628135869902</v>
      </c>
      <c r="F912">
        <v>26.161217578146299</v>
      </c>
      <c r="G912">
        <v>50.896518680640597</v>
      </c>
      <c r="H912">
        <v>30.878058509648699</v>
      </c>
      <c r="I912">
        <v>97.801201275489305</v>
      </c>
      <c r="J912">
        <v>60.7332374716486</v>
      </c>
      <c r="K912" t="s">
        <v>2</v>
      </c>
      <c r="L912">
        <v>9.66</v>
      </c>
      <c r="M912">
        <v>0</v>
      </c>
      <c r="N912">
        <f>LN(1+Table1[[#This Row],[Redness]])</f>
        <v>5.0490207582229862</v>
      </c>
      <c r="O912">
        <f>LN(1+Table1[[#This Row],[Greeness]])</f>
        <v>4.4110281557784665</v>
      </c>
      <c r="P912">
        <f>LN(1+Table1[[#This Row],[Blueness]])</f>
        <v>1.4828025071091875</v>
      </c>
      <c r="Q912">
        <f>LN(1+Table1[[#This Row],[L* lab]])</f>
        <v>3.7754384569114738</v>
      </c>
      <c r="R912">
        <f>LN(1+Table1[[#This Row],[a* lab]]+128)</f>
        <v>5.0444646897834771</v>
      </c>
      <c r="S912">
        <v>5.1923817893553528</v>
      </c>
      <c r="T912">
        <v>3.4619179521192529</v>
      </c>
      <c r="U912">
        <f>LN(1+Table1[[#This Row],[Saturation]])</f>
        <v>4.5931097633387052</v>
      </c>
      <c r="V912">
        <v>4.1228224807076979</v>
      </c>
      <c r="W912" t="s">
        <v>26</v>
      </c>
    </row>
    <row r="913" spans="1:23" x14ac:dyDescent="0.3">
      <c r="A913">
        <v>600</v>
      </c>
      <c r="B913">
        <v>151.29171110832499</v>
      </c>
      <c r="C913">
        <v>76.513871692701599</v>
      </c>
      <c r="D913">
        <v>4.9717782333839304</v>
      </c>
      <c r="E913">
        <v>40.991774030900402</v>
      </c>
      <c r="F913">
        <v>27.307138626886701</v>
      </c>
      <c r="G913">
        <v>49.104595615794601</v>
      </c>
      <c r="H913">
        <v>29.3365744722412</v>
      </c>
      <c r="I913">
        <v>96.713780155593497</v>
      </c>
      <c r="J913">
        <v>59.330082787578597</v>
      </c>
      <c r="K913" t="s">
        <v>2</v>
      </c>
      <c r="L913">
        <v>9.66</v>
      </c>
      <c r="M913">
        <v>0</v>
      </c>
      <c r="N913">
        <f>LN(1+Table1[[#This Row],[Redness]])</f>
        <v>5.0257978336552611</v>
      </c>
      <c r="O913">
        <f>LN(1+Table1[[#This Row],[Greeness]])</f>
        <v>4.3504569099258239</v>
      </c>
      <c r="P913">
        <f>LN(1+Table1[[#This Row],[Blueness]])</f>
        <v>1.7870447445909166</v>
      </c>
      <c r="Q913">
        <f>LN(1+Table1[[#This Row],[L* lab]])</f>
        <v>3.7374737426938642</v>
      </c>
      <c r="R913">
        <f>LN(1+Table1[[#This Row],[a* lab]]+128)</f>
        <v>5.0518229089813138</v>
      </c>
      <c r="S913">
        <v>5.1823709935325839</v>
      </c>
      <c r="T913">
        <v>3.4123540628738338</v>
      </c>
      <c r="U913">
        <f>LN(1+Table1[[#This Row],[Saturation]])</f>
        <v>4.5820425947075876</v>
      </c>
      <c r="V913">
        <v>4.0998308646973545</v>
      </c>
      <c r="W913" t="s">
        <v>26</v>
      </c>
    </row>
    <row r="914" spans="1:23" x14ac:dyDescent="0.3">
      <c r="A914">
        <v>900</v>
      </c>
      <c r="B914">
        <v>145.36213333065601</v>
      </c>
      <c r="C914">
        <v>76.362116171252495</v>
      </c>
      <c r="D914">
        <v>7.3619694799971498</v>
      </c>
      <c r="E914">
        <v>40.063732864144498</v>
      </c>
      <c r="F914">
        <v>24.8465664350135</v>
      </c>
      <c r="G914">
        <v>47.346432832058802</v>
      </c>
      <c r="H914">
        <v>30.000028159064598</v>
      </c>
      <c r="I914">
        <v>94.935428291183101</v>
      </c>
      <c r="J914">
        <v>57.004758168884997</v>
      </c>
      <c r="K914" t="s">
        <v>2</v>
      </c>
      <c r="L914">
        <v>14.49</v>
      </c>
      <c r="M914">
        <v>1</v>
      </c>
      <c r="N914">
        <f>LN(1+Table1[[#This Row],[Redness]])</f>
        <v>4.9860839159579786</v>
      </c>
      <c r="O914">
        <f>LN(1+Table1[[#This Row],[Greeness]])</f>
        <v>4.3484972056216318</v>
      </c>
      <c r="P914">
        <f>LN(1+Table1[[#This Row],[Blueness]])</f>
        <v>2.1236939830828367</v>
      </c>
      <c r="Q914">
        <f>LN(1+Table1[[#This Row],[L* lab]])</f>
        <v>3.7151253198828704</v>
      </c>
      <c r="R914">
        <f>LN(1+Table1[[#This Row],[a* lab]]+128)</f>
        <v>5.0359557839045372</v>
      </c>
      <c r="S914">
        <v>5.172450428703498</v>
      </c>
      <c r="T914">
        <v>3.4339881128416563</v>
      </c>
      <c r="U914">
        <f>LN(1+Table1[[#This Row],[Saturation]])</f>
        <v>4.5636753431893515</v>
      </c>
      <c r="V914">
        <v>4.0605250445761056</v>
      </c>
    </row>
    <row r="915" spans="1:23" x14ac:dyDescent="0.3">
      <c r="A915">
        <v>900</v>
      </c>
      <c r="B915">
        <v>144.90488888621999</v>
      </c>
      <c r="C915">
        <v>75.904871829571903</v>
      </c>
      <c r="D915">
        <v>6.9047352120904399</v>
      </c>
      <c r="E915">
        <v>39.887999728596199</v>
      </c>
      <c r="F915">
        <v>24.8930807224219</v>
      </c>
      <c r="G915">
        <v>47.326208685583701</v>
      </c>
      <c r="H915">
        <v>30.0000259914564</v>
      </c>
      <c r="I915">
        <v>95.234988091042197</v>
      </c>
      <c r="J915">
        <v>56.825446622047302</v>
      </c>
      <c r="K915" t="s">
        <v>2</v>
      </c>
      <c r="L915">
        <v>14.49</v>
      </c>
      <c r="M915">
        <v>1</v>
      </c>
      <c r="N915">
        <f>LN(1+Table1[[#This Row],[Redness]])</f>
        <v>4.9829549634404069</v>
      </c>
      <c r="O915">
        <f>LN(1+Table1[[#This Row],[Greeness]])</f>
        <v>4.3425692272951668</v>
      </c>
      <c r="P915">
        <f>LN(1+Table1[[#This Row],[Blueness]])</f>
        <v>2.0674619738436792</v>
      </c>
      <c r="Q915">
        <f>LN(1+Table1[[#This Row],[L* lab]])</f>
        <v>3.7108366148282412</v>
      </c>
      <c r="R915">
        <f>LN(1+Table1[[#This Row],[a* lab]]+128)</f>
        <v>5.0362580802657133</v>
      </c>
      <c r="S915">
        <v>5.1723357379443264</v>
      </c>
      <c r="T915">
        <v>3.4339880429188723</v>
      </c>
      <c r="U915">
        <f>LN(1+Table1[[#This Row],[Saturation]])</f>
        <v>4.5667929931183622</v>
      </c>
      <c r="V915">
        <v>4.0574289317720211</v>
      </c>
    </row>
    <row r="916" spans="1:23" x14ac:dyDescent="0.3">
      <c r="A916">
        <v>900</v>
      </c>
      <c r="B916">
        <v>144.77937777511201</v>
      </c>
      <c r="C916">
        <v>75.7793607466689</v>
      </c>
      <c r="D916">
        <v>6.7792268943835401</v>
      </c>
      <c r="E916">
        <v>39.839817251772701</v>
      </c>
      <c r="F916">
        <v>24.905886035220401</v>
      </c>
      <c r="G916">
        <v>47.3191746564017</v>
      </c>
      <c r="H916">
        <v>30.000025396459598</v>
      </c>
      <c r="I916">
        <v>95.317546601896694</v>
      </c>
      <c r="J916">
        <v>56.776226578475203</v>
      </c>
      <c r="K916" t="s">
        <v>2</v>
      </c>
      <c r="L916">
        <v>14.49</v>
      </c>
      <c r="M916">
        <v>1</v>
      </c>
      <c r="N916">
        <f>LN(1+Table1[[#This Row],[Redness]])</f>
        <v>4.9820943676990534</v>
      </c>
      <c r="O916">
        <f>LN(1+Table1[[#This Row],[Greeness]])</f>
        <v>4.3409358637587383</v>
      </c>
      <c r="P916">
        <f>LN(1+Table1[[#This Row],[Blueness]])</f>
        <v>2.0514569623508265</v>
      </c>
      <c r="Q916">
        <f>LN(1+Table1[[#This Row],[L* lab]])</f>
        <v>3.7096575185502312</v>
      </c>
      <c r="R916">
        <f>LN(1+Table1[[#This Row],[a* lab]]+128)</f>
        <v>5.0363412859563672</v>
      </c>
      <c r="S916">
        <v>5.1722958450121332</v>
      </c>
      <c r="T916">
        <v>3.4339880237254428</v>
      </c>
      <c r="U916">
        <f>LN(1+Table1[[#This Row],[Saturation]])</f>
        <v>4.5676505099102878</v>
      </c>
      <c r="V916">
        <v>4.0565773861986116</v>
      </c>
    </row>
    <row r="917" spans="1:23" x14ac:dyDescent="0.3">
      <c r="A917">
        <v>900</v>
      </c>
      <c r="B917">
        <v>143.96408888623799</v>
      </c>
      <c r="C917">
        <v>74.964072041012898</v>
      </c>
      <c r="D917">
        <v>5.9639561507520602</v>
      </c>
      <c r="E917">
        <v>39.526574520117798</v>
      </c>
      <c r="F917">
        <v>24.988888190853299</v>
      </c>
      <c r="G917">
        <v>47.280530216521498</v>
      </c>
      <c r="H917">
        <v>30.0000215315087</v>
      </c>
      <c r="I917">
        <v>95.857330673995406</v>
      </c>
      <c r="J917">
        <v>56.456505445583502</v>
      </c>
      <c r="K917" t="s">
        <v>2</v>
      </c>
      <c r="L917">
        <v>14.49</v>
      </c>
      <c r="M917">
        <v>1</v>
      </c>
      <c r="N917">
        <f>LN(1+Table1[[#This Row],[Redness]])</f>
        <v>4.9764860488935341</v>
      </c>
      <c r="O917">
        <f>LN(1+Table1[[#This Row],[Greeness]])</f>
        <v>4.3302604922088355</v>
      </c>
      <c r="P917">
        <f>LN(1+Table1[[#This Row],[Blueness]])</f>
        <v>1.9407477253255305</v>
      </c>
      <c r="Q917">
        <f>LN(1+Table1[[#This Row],[L* lab]])</f>
        <v>3.7019579199235566</v>
      </c>
      <c r="R917">
        <f>LN(1+Table1[[#This Row],[a* lab]]+128)</f>
        <v>5.0368804452055116</v>
      </c>
      <c r="S917">
        <v>5.1720766477779847</v>
      </c>
      <c r="T917">
        <v>3.4339878990497019</v>
      </c>
      <c r="U917">
        <f>LN(1+Table1[[#This Row],[Saturation]])</f>
        <v>4.5732390779952494</v>
      </c>
      <c r="V917">
        <v>4.0510282345346926</v>
      </c>
    </row>
    <row r="918" spans="1:23" x14ac:dyDescent="0.3">
      <c r="A918">
        <v>900</v>
      </c>
      <c r="B918">
        <v>143.83891110846201</v>
      </c>
      <c r="C918">
        <v>74.838894291368305</v>
      </c>
      <c r="D918">
        <v>5.8387811589597503</v>
      </c>
      <c r="E918">
        <v>39.478143490973203</v>
      </c>
      <c r="F918">
        <v>25.001391802202502</v>
      </c>
      <c r="G918">
        <v>47.284047844294598</v>
      </c>
      <c r="H918">
        <v>30.000020938092</v>
      </c>
      <c r="I918">
        <v>95.940749888910702</v>
      </c>
      <c r="J918">
        <v>56.407416120965699</v>
      </c>
      <c r="K918" t="s">
        <v>2</v>
      </c>
      <c r="L918">
        <v>14.49</v>
      </c>
      <c r="M918">
        <v>1</v>
      </c>
      <c r="N918">
        <f>LN(1+Table1[[#This Row],[Redness]])</f>
        <v>4.9756221669767617</v>
      </c>
      <c r="O918">
        <f>LN(1+Table1[[#This Row],[Greeness]])</f>
        <v>4.3286112783490331</v>
      </c>
      <c r="P918">
        <f>LN(1+Table1[[#This Row],[Blueness]])</f>
        <v>1.9226095226216369</v>
      </c>
      <c r="Q918">
        <f>LN(1+Table1[[#This Row],[L* lab]])</f>
        <v>3.700762161550355</v>
      </c>
      <c r="R918">
        <f>LN(1+Table1[[#This Row],[a* lab]]+128)</f>
        <v>5.0369616400494293</v>
      </c>
      <c r="S918">
        <v>5.1720966022940766</v>
      </c>
      <c r="T918">
        <v>3.4339878799072405</v>
      </c>
      <c r="U918">
        <f>LN(1+Table1[[#This Row],[Saturation]])</f>
        <v>4.5740999659857291</v>
      </c>
      <c r="V918">
        <v>4.0501734956935156</v>
      </c>
    </row>
    <row r="919" spans="1:23" x14ac:dyDescent="0.3">
      <c r="A919">
        <v>900</v>
      </c>
      <c r="B919">
        <v>142.41795555293299</v>
      </c>
      <c r="C919">
        <v>73.417939055166798</v>
      </c>
      <c r="D919">
        <v>4.4178572285185203</v>
      </c>
      <c r="E919">
        <v>38.931548058240203</v>
      </c>
      <c r="F919">
        <v>25.1455505857048</v>
      </c>
      <c r="G919">
        <v>47.236324860900801</v>
      </c>
      <c r="H919">
        <v>30.000014201920699</v>
      </c>
      <c r="I919">
        <v>96.897963314129598</v>
      </c>
      <c r="J919">
        <v>55.850178648209102</v>
      </c>
      <c r="K919" t="s">
        <v>2</v>
      </c>
      <c r="L919">
        <v>14.49</v>
      </c>
      <c r="M919">
        <v>1</v>
      </c>
      <c r="N919">
        <f>LN(1+Table1[[#This Row],[Redness]])</f>
        <v>4.9657631333879184</v>
      </c>
      <c r="O919">
        <f>LN(1+Table1[[#This Row],[Greeness]])</f>
        <v>4.3096970291080616</v>
      </c>
      <c r="P919">
        <f>LN(1+Table1[[#This Row],[Blueness]])</f>
        <v>1.6897003919902158</v>
      </c>
      <c r="Q919">
        <f>LN(1+Table1[[#This Row],[L* lab]])</f>
        <v>3.6871666896259039</v>
      </c>
      <c r="R919">
        <f>LN(1+Table1[[#This Row],[a* lab]]+128)</f>
        <v>5.0378972897294299</v>
      </c>
      <c r="S919">
        <v>5.1718258492404638</v>
      </c>
      <c r="T919">
        <v>3.4339876626115156</v>
      </c>
      <c r="U919">
        <f>LN(1+Table1[[#This Row],[Saturation]])</f>
        <v>4.5839257455828788</v>
      </c>
      <c r="V919">
        <v>4.0404193626403169</v>
      </c>
    </row>
    <row r="920" spans="1:23" x14ac:dyDescent="0.3">
      <c r="A920">
        <v>900</v>
      </c>
      <c r="B920">
        <v>142.20233333071499</v>
      </c>
      <c r="C920">
        <v>73.202316881404798</v>
      </c>
      <c r="D920">
        <v>4.2022398052341696</v>
      </c>
      <c r="E920">
        <v>38.848520227198499</v>
      </c>
      <c r="F920">
        <v>25.1673609740389</v>
      </c>
      <c r="G920">
        <v>47.231614277866001</v>
      </c>
      <c r="H920">
        <v>30.000013179743299</v>
      </c>
      <c r="I920">
        <v>97.044886882790294</v>
      </c>
      <c r="J920">
        <v>55.765620914005801</v>
      </c>
      <c r="K920" t="s">
        <v>2</v>
      </c>
      <c r="L920">
        <v>14.49</v>
      </c>
      <c r="M920">
        <v>1</v>
      </c>
      <c r="N920">
        <f>LN(1+Table1[[#This Row],[Redness]])</f>
        <v>4.9642585486026993</v>
      </c>
      <c r="O920">
        <f>LN(1+Table1[[#This Row],[Greeness]])</f>
        <v>4.3067953745026264</v>
      </c>
      <c r="P920">
        <f>LN(1+Table1[[#This Row],[Blueness]])</f>
        <v>1.6490892646248814</v>
      </c>
      <c r="Q920">
        <f>LN(1+Table1[[#This Row],[L* lab]])</f>
        <v>3.6850852709758275</v>
      </c>
      <c r="R920">
        <f>LN(1+Table1[[#This Row],[a* lab]]+128)</f>
        <v>5.0380387718896165</v>
      </c>
      <c r="S920">
        <v>5.1717991200971181</v>
      </c>
      <c r="T920">
        <v>3.4339876296380654</v>
      </c>
      <c r="U920">
        <f>LN(1+Table1[[#This Row],[Saturation]])</f>
        <v>4.5854254032233452</v>
      </c>
      <c r="V920">
        <v>4.038930876881448</v>
      </c>
    </row>
    <row r="921" spans="1:23" x14ac:dyDescent="0.3">
      <c r="A921">
        <v>900</v>
      </c>
      <c r="B921">
        <v>141.92053333071999</v>
      </c>
      <c r="C921">
        <v>72.920516944738196</v>
      </c>
      <c r="D921">
        <v>3.9204460770399199</v>
      </c>
      <c r="E921">
        <v>38.740128680885803</v>
      </c>
      <c r="F921">
        <v>25.195968802407599</v>
      </c>
      <c r="G921">
        <v>47.221466982709202</v>
      </c>
      <c r="H921">
        <v>30.000011843843801</v>
      </c>
      <c r="I921">
        <v>97.237576561311201</v>
      </c>
      <c r="J921">
        <v>55.655111110086303</v>
      </c>
      <c r="K921" t="s">
        <v>2</v>
      </c>
      <c r="L921">
        <v>14.49</v>
      </c>
      <c r="M921">
        <v>1</v>
      </c>
      <c r="N921">
        <f>LN(1+Table1[[#This Row],[Redness]])</f>
        <v>4.9622887648213503</v>
      </c>
      <c r="O921">
        <f>LN(1+Table1[[#This Row],[Greeness]])</f>
        <v>4.3029904206090057</v>
      </c>
      <c r="P921">
        <f>LN(1+Table1[[#This Row],[Blueness]])</f>
        <v>1.5933991924593218</v>
      </c>
      <c r="Q921">
        <f>LN(1+Table1[[#This Row],[L* lab]])</f>
        <v>3.6823614751880256</v>
      </c>
      <c r="R921">
        <f>LN(1+Table1[[#This Row],[a* lab]]+128)</f>
        <v>5.0382243181312631</v>
      </c>
      <c r="S921">
        <v>5.1717415391270594</v>
      </c>
      <c r="T921">
        <v>3.4339875865445508</v>
      </c>
      <c r="U921">
        <f>LN(1+Table1[[#This Row],[Saturation]])</f>
        <v>4.5873887955411305</v>
      </c>
      <c r="V921">
        <v>4.036982206000606</v>
      </c>
    </row>
    <row r="922" spans="1:23" x14ac:dyDescent="0.3">
      <c r="A922">
        <v>900</v>
      </c>
      <c r="B922">
        <v>141.77066666405599</v>
      </c>
      <c r="C922">
        <v>72.770650311753499</v>
      </c>
      <c r="D922">
        <v>3.7705827458403198</v>
      </c>
      <c r="E922">
        <v>38.682474256082699</v>
      </c>
      <c r="F922">
        <v>25.2111736207715</v>
      </c>
      <c r="G922">
        <v>47.216431853290302</v>
      </c>
      <c r="H922">
        <v>30.0000111333867</v>
      </c>
      <c r="I922">
        <v>97.3403646645923</v>
      </c>
      <c r="J922">
        <v>55.596339868257303</v>
      </c>
      <c r="K922" t="s">
        <v>2</v>
      </c>
      <c r="L922">
        <v>14.49</v>
      </c>
      <c r="M922">
        <v>1</v>
      </c>
      <c r="N922">
        <f>LN(1+Table1[[#This Row],[Redness]])</f>
        <v>4.9612396132870114</v>
      </c>
      <c r="O922">
        <f>LN(1+Table1[[#This Row],[Greeness]])</f>
        <v>4.3009609602532279</v>
      </c>
      <c r="P922">
        <f>LN(1+Table1[[#This Row],[Blueness]])</f>
        <v>1.5624684663775033</v>
      </c>
      <c r="Q922">
        <f>LN(1+Table1[[#This Row],[L* lab]])</f>
        <v>3.6809096357166844</v>
      </c>
      <c r="R922">
        <f>LN(1+Table1[[#This Row],[a* lab]]+128)</f>
        <v>5.0383229203767019</v>
      </c>
      <c r="S922">
        <v>5.1717129659830476</v>
      </c>
      <c r="T922">
        <v>3.4339875636265882</v>
      </c>
      <c r="U922">
        <f>LN(1+Table1[[#This Row],[Saturation]])</f>
        <v>4.588434570178995</v>
      </c>
      <c r="V922">
        <v>4.0359443164795961</v>
      </c>
    </row>
    <row r="923" spans="1:23" x14ac:dyDescent="0.3">
      <c r="A923">
        <v>900</v>
      </c>
      <c r="B923">
        <v>141.403577775174</v>
      </c>
      <c r="C923">
        <v>72.403561505366298</v>
      </c>
      <c r="D923">
        <v>3.4035020269663501</v>
      </c>
      <c r="E923">
        <v>38.5408934231492</v>
      </c>
      <c r="F923">
        <v>25.248110140715401</v>
      </c>
      <c r="G923">
        <v>47.215941623578097</v>
      </c>
      <c r="H923">
        <v>30.000009393167002</v>
      </c>
      <c r="I923">
        <v>97.593058053751804</v>
      </c>
      <c r="J923">
        <v>55.452383441244699</v>
      </c>
      <c r="K923" t="s">
        <v>2</v>
      </c>
      <c r="L923">
        <v>14.49</v>
      </c>
      <c r="M923">
        <v>1</v>
      </c>
      <c r="N923">
        <f>LN(1+Table1[[#This Row],[Redness]])</f>
        <v>4.9586651234879122</v>
      </c>
      <c r="O923">
        <f>LN(1+Table1[[#This Row],[Greeness]])</f>
        <v>4.2959724563147974</v>
      </c>
      <c r="P923">
        <f>LN(1+Table1[[#This Row],[Blueness]])</f>
        <v>1.4824001395712876</v>
      </c>
      <c r="Q923">
        <f>LN(1+Table1[[#This Row],[L* lab]])</f>
        <v>3.6773354129133287</v>
      </c>
      <c r="R923">
        <f>LN(1+Table1[[#This Row],[a* lab]]+128)</f>
        <v>5.0385624107863922</v>
      </c>
      <c r="S923">
        <v>5.1717101840041542</v>
      </c>
      <c r="T923">
        <v>3.4339875074904875</v>
      </c>
      <c r="U923">
        <f>LN(1+Table1[[#This Row],[Saturation]])</f>
        <v>4.591000853995669</v>
      </c>
      <c r="V923">
        <v>4.0333975118698797</v>
      </c>
    </row>
    <row r="924" spans="1:23" x14ac:dyDescent="0.3">
      <c r="A924">
        <v>900</v>
      </c>
      <c r="B924">
        <v>141.35466666406299</v>
      </c>
      <c r="C924">
        <v>72.354650405247796</v>
      </c>
      <c r="D924">
        <v>3.3545920044322002</v>
      </c>
      <c r="E924">
        <v>38.522013948637202</v>
      </c>
      <c r="F924">
        <v>25.253015741651701</v>
      </c>
      <c r="G924">
        <v>47.216482189940599</v>
      </c>
      <c r="H924">
        <v>30.0000091612992</v>
      </c>
      <c r="I924">
        <v>97.626826136271404</v>
      </c>
      <c r="J924">
        <v>55.433202613358397</v>
      </c>
      <c r="K924" t="s">
        <v>2</v>
      </c>
      <c r="L924">
        <v>14.49</v>
      </c>
      <c r="M924">
        <v>1</v>
      </c>
      <c r="N924">
        <f>LN(1+Table1[[#This Row],[Redness]])</f>
        <v>4.9583215962148861</v>
      </c>
      <c r="O924">
        <f>LN(1+Table1[[#This Row],[Greeness]])</f>
        <v>4.2953059027871596</v>
      </c>
      <c r="P924">
        <f>LN(1+Table1[[#This Row],[Blueness]])</f>
        <v>1.4712309215144768</v>
      </c>
      <c r="Q924">
        <f>LN(1+Table1[[#This Row],[L* lab]])</f>
        <v>3.6768578318200338</v>
      </c>
      <c r="R924">
        <f>LN(1+Table1[[#This Row],[a* lab]]+128)</f>
        <v>5.0385942135937416</v>
      </c>
      <c r="S924">
        <v>5.1717132516354276</v>
      </c>
      <c r="T924">
        <v>3.433987500010883</v>
      </c>
      <c r="U924">
        <f>LN(1+Table1[[#This Row],[Saturation]])</f>
        <v>4.591343294951745</v>
      </c>
      <c r="V924">
        <v>4.033057684107253</v>
      </c>
    </row>
    <row r="925" spans="1:23" x14ac:dyDescent="0.3">
      <c r="A925">
        <v>900</v>
      </c>
      <c r="B925">
        <v>140.62026666407701</v>
      </c>
      <c r="C925">
        <v>71.620250570301195</v>
      </c>
      <c r="D925">
        <v>2.6202083494078501</v>
      </c>
      <c r="E925">
        <v>38.238912341131602</v>
      </c>
      <c r="F925">
        <v>25.327028561453002</v>
      </c>
      <c r="G925">
        <v>47.210966800167697</v>
      </c>
      <c r="H925">
        <v>30.0000056798056</v>
      </c>
      <c r="I925">
        <v>98.136678011237706</v>
      </c>
      <c r="J925">
        <v>55.145202613363701</v>
      </c>
      <c r="K925" t="s">
        <v>2</v>
      </c>
      <c r="L925">
        <v>14.49</v>
      </c>
      <c r="M925">
        <v>1</v>
      </c>
      <c r="N925">
        <f>LN(1+Table1[[#This Row],[Redness]])</f>
        <v>4.9531492971767834</v>
      </c>
      <c r="O925">
        <f>LN(1+Table1[[#This Row],[Greeness]])</f>
        <v>4.2852438164112643</v>
      </c>
      <c r="P925">
        <f>LN(1+Table1[[#This Row],[Blueness]])</f>
        <v>1.2865315792664909</v>
      </c>
      <c r="Q925">
        <f>LN(1+Table1[[#This Row],[L* lab]])</f>
        <v>3.6696689161970961</v>
      </c>
      <c r="R925">
        <f>LN(1+Table1[[#This Row],[a* lab]]+128)</f>
        <v>5.0390739129300206</v>
      </c>
      <c r="S925">
        <v>5.171681952201804</v>
      </c>
      <c r="T925">
        <v>3.4339873877046649</v>
      </c>
      <c r="U925">
        <f>LN(1+Table1[[#This Row],[Saturation]])</f>
        <v>4.5964994839741076</v>
      </c>
      <c r="V925">
        <v>4.0279412387696816</v>
      </c>
    </row>
    <row r="926" spans="1:23" x14ac:dyDescent="0.3">
      <c r="A926">
        <v>900</v>
      </c>
      <c r="B926">
        <v>158.23857777486401</v>
      </c>
      <c r="C926">
        <v>76.957138259745903</v>
      </c>
      <c r="D926">
        <v>9.1974980715850005</v>
      </c>
      <c r="E926">
        <v>42.185152617242998</v>
      </c>
      <c r="F926">
        <v>30.0974901217796</v>
      </c>
      <c r="G926">
        <v>49.272032791484399</v>
      </c>
      <c r="H926">
        <v>27.278240464868301</v>
      </c>
      <c r="I926">
        <v>94.187575368207007</v>
      </c>
      <c r="J926">
        <v>62.0543442254369</v>
      </c>
      <c r="K926" t="s">
        <v>2</v>
      </c>
      <c r="L926">
        <v>14.49</v>
      </c>
      <c r="M926">
        <v>1</v>
      </c>
      <c r="N926">
        <f>LN(1+Table1[[#This Row],[Redness]])</f>
        <v>5.0704035667613097</v>
      </c>
      <c r="O926">
        <f>LN(1+Table1[[#This Row],[Greeness]])</f>
        <v>4.356159166163482</v>
      </c>
      <c r="P926">
        <f>LN(1+Table1[[#This Row],[Blueness]])</f>
        <v>2.322142403102915</v>
      </c>
      <c r="Q926">
        <f>LN(1+Table1[[#This Row],[L* lab]])</f>
        <v>3.7654967467596503</v>
      </c>
      <c r="R926">
        <f>LN(1+Table1[[#This Row],[a* lab]]+128)</f>
        <v>5.069517159743377</v>
      </c>
      <c r="S926">
        <v>5.1833106577791321</v>
      </c>
      <c r="T926">
        <v>3.3420926207358805</v>
      </c>
      <c r="U926">
        <f>LN(1+Table1[[#This Row],[Saturation]])</f>
        <v>4.5558494224418773</v>
      </c>
      <c r="V926">
        <v>4.1439969613131087</v>
      </c>
      <c r="W926" t="s">
        <v>26</v>
      </c>
    </row>
    <row r="927" spans="1:23" x14ac:dyDescent="0.3">
      <c r="A927">
        <v>900</v>
      </c>
      <c r="B927">
        <v>154.64637777492999</v>
      </c>
      <c r="C927">
        <v>74.003872256814006</v>
      </c>
      <c r="D927">
        <v>10.8158148309303</v>
      </c>
      <c r="E927">
        <v>40.988419061660998</v>
      </c>
      <c r="F927">
        <v>30.201708167983501</v>
      </c>
      <c r="G927">
        <v>47.6939681395882</v>
      </c>
      <c r="H927">
        <v>26.3593729173481</v>
      </c>
      <c r="I927">
        <v>93.006098825882901</v>
      </c>
      <c r="J927">
        <v>60.645638343109901</v>
      </c>
      <c r="K927" t="s">
        <v>2</v>
      </c>
      <c r="L927">
        <v>14.49</v>
      </c>
      <c r="M927">
        <v>1</v>
      </c>
      <c r="N927">
        <f>LN(1+Table1[[#This Row],[Redness]])</f>
        <v>5.047586625013424</v>
      </c>
      <c r="O927">
        <f>LN(1+Table1[[#This Row],[Greeness]])</f>
        <v>4.3175397422943762</v>
      </c>
      <c r="P927">
        <f>LN(1+Table1[[#This Row],[Blueness]])</f>
        <v>2.4694388740611188</v>
      </c>
      <c r="Q927">
        <f>LN(1+Table1[[#This Row],[L* lab]])</f>
        <v>3.737393843633916</v>
      </c>
      <c r="R927">
        <f>LN(1+Table1[[#This Row],[a* lab]]+128)</f>
        <v>5.070172003051109</v>
      </c>
      <c r="S927">
        <v>5.17441924257768</v>
      </c>
      <c r="T927">
        <v>3.3090591728041203</v>
      </c>
      <c r="U927">
        <f>LN(1+Table1[[#This Row],[Saturation]])</f>
        <v>4.5433596612917286</v>
      </c>
      <c r="V927">
        <v>4.1214024784150878</v>
      </c>
      <c r="W927" t="s">
        <v>26</v>
      </c>
    </row>
    <row r="928" spans="1:23" x14ac:dyDescent="0.3">
      <c r="A928">
        <v>900</v>
      </c>
      <c r="B928">
        <v>151.61048888609699</v>
      </c>
      <c r="C928">
        <v>67.675540345748004</v>
      </c>
      <c r="D928">
        <v>10.9536256526016</v>
      </c>
      <c r="E928">
        <v>39.1827484650684</v>
      </c>
      <c r="F928">
        <v>32.282081879028098</v>
      </c>
      <c r="G928">
        <v>46.129253424226498</v>
      </c>
      <c r="H928">
        <v>24.1958678968914</v>
      </c>
      <c r="I928">
        <v>92.775153135459504</v>
      </c>
      <c r="J928">
        <v>59.455093680822401</v>
      </c>
      <c r="K928" t="s">
        <v>2</v>
      </c>
      <c r="L928">
        <v>14.49</v>
      </c>
      <c r="M928">
        <v>1</v>
      </c>
      <c r="N928">
        <f>LN(1+Table1[[#This Row],[Redness]])</f>
        <v>5.0278888509974031</v>
      </c>
      <c r="O928">
        <f>LN(1+Table1[[#This Row],[Greeness]])</f>
        <v>4.2293931001083456</v>
      </c>
      <c r="P928">
        <f>LN(1+Table1[[#This Row],[Blueness]])</f>
        <v>2.4810346342518206</v>
      </c>
      <c r="Q928">
        <f>LN(1+Table1[[#This Row],[L* lab]])</f>
        <v>3.6934377608569213</v>
      </c>
      <c r="R928">
        <f>LN(1+Table1[[#This Row],[a* lab]]+128)</f>
        <v>5.0831548932758066</v>
      </c>
      <c r="S928">
        <v>5.1655242922949949</v>
      </c>
      <c r="T928">
        <v>3.2266800087268637</v>
      </c>
      <c r="U928">
        <f>LN(1+Table1[[#This Row],[Saturation]])</f>
        <v>4.5408999289760494</v>
      </c>
      <c r="V928">
        <v>4.1019008362209473</v>
      </c>
      <c r="W928" t="s">
        <v>26</v>
      </c>
    </row>
    <row r="929" spans="1:23" x14ac:dyDescent="0.3">
      <c r="A929">
        <v>900</v>
      </c>
      <c r="B929">
        <v>150.509488886117</v>
      </c>
      <c r="C929">
        <v>63.890985640756</v>
      </c>
      <c r="D929">
        <v>10.2060172919159</v>
      </c>
      <c r="E929">
        <v>38.225867257575899</v>
      </c>
      <c r="F929">
        <v>33.792506423450099</v>
      </c>
      <c r="G929">
        <v>45.563245883323397</v>
      </c>
      <c r="H929">
        <v>22.958078401985301</v>
      </c>
      <c r="I929">
        <v>93.219020696005202</v>
      </c>
      <c r="J929">
        <v>59.023328974948001</v>
      </c>
      <c r="K929" t="s">
        <v>2</v>
      </c>
      <c r="L929">
        <v>14.49</v>
      </c>
      <c r="M929">
        <v>1</v>
      </c>
      <c r="N929">
        <f>LN(1+Table1[[#This Row],[Redness]])</f>
        <v>5.0206482558997285</v>
      </c>
      <c r="O929">
        <f>LN(1+Table1[[#This Row],[Greeness]])</f>
        <v>4.1727087179268114</v>
      </c>
      <c r="P929">
        <f>LN(1+Table1[[#This Row],[Blueness]])</f>
        <v>2.4164508922363068</v>
      </c>
      <c r="Q929">
        <f>LN(1+Table1[[#This Row],[L* lab]])</f>
        <v>3.6693364081917816</v>
      </c>
      <c r="R929">
        <f>LN(1+Table1[[#This Row],[a* lab]]+128)</f>
        <v>5.09247642316907</v>
      </c>
      <c r="S929">
        <v>5.1622871165688675</v>
      </c>
      <c r="T929">
        <v>3.1763055697800056</v>
      </c>
      <c r="U929">
        <f>LN(1+Table1[[#This Row],[Saturation]])</f>
        <v>4.5456220794161935</v>
      </c>
      <c r="V929">
        <v>4.0947333029017843</v>
      </c>
      <c r="W929" t="s">
        <v>26</v>
      </c>
    </row>
    <row r="930" spans="1:23" x14ac:dyDescent="0.3">
      <c r="A930">
        <v>1200</v>
      </c>
      <c r="B930">
        <v>143.04355555292099</v>
      </c>
      <c r="C930">
        <v>74.371005507635601</v>
      </c>
      <c r="D930">
        <v>5.20717299426728</v>
      </c>
      <c r="E930">
        <v>39.248456394172401</v>
      </c>
      <c r="F930">
        <v>24.901149224601699</v>
      </c>
      <c r="G930">
        <v>47.249928974419603</v>
      </c>
      <c r="H930">
        <v>30.106927313158302</v>
      </c>
      <c r="I930">
        <v>96.359729053056995</v>
      </c>
      <c r="J930">
        <v>56.095511981537904</v>
      </c>
      <c r="K930" t="s">
        <v>2</v>
      </c>
      <c r="L930">
        <v>19.32</v>
      </c>
      <c r="M930">
        <v>1</v>
      </c>
      <c r="N930">
        <f>LN(1+Table1[[#This Row],[Redness]])</f>
        <v>4.9701157229589459</v>
      </c>
      <c r="O930">
        <f>LN(1+Table1[[#This Row],[Greeness]])</f>
        <v>4.3224226587194945</v>
      </c>
      <c r="P930">
        <f>LN(1+Table1[[#This Row],[Blueness]])</f>
        <v>1.8257055578772345</v>
      </c>
      <c r="Q930">
        <f>LN(1+Table1[[#This Row],[L* lab]])</f>
        <v>3.695071652673831</v>
      </c>
      <c r="R930">
        <f>LN(1+Table1[[#This Row],[a* lab]]+128)</f>
        <v>5.0363105081632931</v>
      </c>
      <c r="S930">
        <v>5.1719030387102807</v>
      </c>
      <c r="T930">
        <v>3.4374305375699774</v>
      </c>
      <c r="U930">
        <f>LN(1+Table1[[#This Row],[Saturation]])</f>
        <v>4.5784126657363791</v>
      </c>
      <c r="V930">
        <v>4.0447255143003389</v>
      </c>
    </row>
    <row r="931" spans="1:23" x14ac:dyDescent="0.3">
      <c r="A931">
        <v>1200</v>
      </c>
      <c r="B931">
        <v>137.66188888635401</v>
      </c>
      <c r="C931">
        <v>70.501873043874298</v>
      </c>
      <c r="D931">
        <v>3.0877090554839302</v>
      </c>
      <c r="E931">
        <v>37.527464526208199</v>
      </c>
      <c r="F931">
        <v>24.656485215876</v>
      </c>
      <c r="G931">
        <v>46.4066984239006</v>
      </c>
      <c r="H931">
        <v>30.056656071669099</v>
      </c>
      <c r="I931">
        <v>97.757034223151607</v>
      </c>
      <c r="J931">
        <v>53.9850544652369</v>
      </c>
      <c r="K931" t="s">
        <v>2</v>
      </c>
      <c r="L931">
        <v>19.32</v>
      </c>
      <c r="M931">
        <v>1</v>
      </c>
      <c r="N931">
        <f>LN(1+Table1[[#This Row],[Redness]])</f>
        <v>4.9320385158530762</v>
      </c>
      <c r="O931">
        <f>LN(1+Table1[[#This Row],[Greeness]])</f>
        <v>4.2697236457746639</v>
      </c>
      <c r="P931">
        <f>LN(1+Table1[[#This Row],[Blueness]])</f>
        <v>1.4079846799880285</v>
      </c>
      <c r="Q931">
        <f>LN(1+Table1[[#This Row],[L* lab]])</f>
        <v>3.651371351287453</v>
      </c>
      <c r="R931">
        <f>LN(1+Table1[[#This Row],[a* lab]]+128)</f>
        <v>5.0347194954038077</v>
      </c>
      <c r="S931">
        <v>5.1671072686267907</v>
      </c>
      <c r="T931">
        <v>3.435813151643659</v>
      </c>
      <c r="U931">
        <f>LN(1+Table1[[#This Row],[Saturation]])</f>
        <v>4.5926626338838172</v>
      </c>
      <c r="V931">
        <v>4.007061411309591</v>
      </c>
    </row>
    <row r="932" spans="1:23" x14ac:dyDescent="0.3">
      <c r="A932">
        <v>1200</v>
      </c>
      <c r="B932">
        <v>135.40942221972799</v>
      </c>
      <c r="C932">
        <v>68.223806889193895</v>
      </c>
      <c r="D932">
        <v>1.15601871525286</v>
      </c>
      <c r="E932">
        <v>36.649917974271297</v>
      </c>
      <c r="F932">
        <v>24.903808076310899</v>
      </c>
      <c r="G932">
        <v>46.303996139955402</v>
      </c>
      <c r="H932">
        <v>29.973670576644199</v>
      </c>
      <c r="I932">
        <v>99.146278969142202</v>
      </c>
      <c r="J932">
        <v>53.101734203815198</v>
      </c>
      <c r="K932" t="s">
        <v>2</v>
      </c>
      <c r="L932">
        <v>19.32</v>
      </c>
      <c r="M932">
        <v>1</v>
      </c>
      <c r="N932">
        <f>LN(1+Table1[[#This Row],[Redness]])</f>
        <v>4.9156608208808397</v>
      </c>
      <c r="O932">
        <f>LN(1+Table1[[#This Row],[Greeness]])</f>
        <v>4.2373448336494706</v>
      </c>
      <c r="P932">
        <f>LN(1+Table1[[#This Row],[Blueness]])</f>
        <v>0.76826333355307319</v>
      </c>
      <c r="Q932">
        <f>LN(1+Table1[[#This Row],[L* lab]])</f>
        <v>3.6283307756053169</v>
      </c>
      <c r="R932">
        <f>LN(1+Table1[[#This Row],[a* lab]]+128)</f>
        <v>5.0363277843743885</v>
      </c>
      <c r="S932">
        <v>5.1665215876739552</v>
      </c>
      <c r="T932">
        <v>3.4331375073574812</v>
      </c>
      <c r="U932">
        <f>LN(1+Table1[[#This Row],[Saturation]])</f>
        <v>4.606631906844866</v>
      </c>
      <c r="V932">
        <v>3.9908662408620548</v>
      </c>
    </row>
    <row r="933" spans="1:23" x14ac:dyDescent="0.3">
      <c r="A933">
        <v>1200</v>
      </c>
      <c r="B933">
        <v>142.76888888625999</v>
      </c>
      <c r="C933">
        <v>74.115538898384003</v>
      </c>
      <c r="D933">
        <v>6.2448387881130998</v>
      </c>
      <c r="E933">
        <v>39.151888660363802</v>
      </c>
      <c r="F933">
        <v>24.942819741685501</v>
      </c>
      <c r="G933">
        <v>46.847587463800799</v>
      </c>
      <c r="H933">
        <v>29.828019339367099</v>
      </c>
      <c r="I933">
        <v>95.625910633031395</v>
      </c>
      <c r="J933">
        <v>55.9877995632392</v>
      </c>
      <c r="K933" t="s">
        <v>2</v>
      </c>
      <c r="L933">
        <v>19.32</v>
      </c>
      <c r="M933">
        <v>1</v>
      </c>
      <c r="N933">
        <f>LN(1+Table1[[#This Row],[Redness]])</f>
        <v>4.9682070719930067</v>
      </c>
      <c r="O933">
        <f>LN(1+Table1[[#This Row],[Greeness]])</f>
        <v>4.3190274467998284</v>
      </c>
      <c r="P933">
        <f>LN(1+Table1[[#This Row],[Blueness]])</f>
        <v>1.9802893240569068</v>
      </c>
      <c r="Q933">
        <f>LN(1+Table1[[#This Row],[L* lab]])</f>
        <v>3.6926694793951071</v>
      </c>
      <c r="R933">
        <f>LN(1+Table1[[#This Row],[a* lab]]+128)</f>
        <v>5.0365812330859105</v>
      </c>
      <c r="S933">
        <v>5.1696176395412685</v>
      </c>
      <c r="T933">
        <v>3.4284239952467783</v>
      </c>
      <c r="U933">
        <f>LN(1+Table1[[#This Row],[Saturation]])</f>
        <v>4.5708469312671234</v>
      </c>
      <c r="V933">
        <v>4.042837202173942</v>
      </c>
    </row>
    <row r="934" spans="1:23" x14ac:dyDescent="0.3">
      <c r="A934">
        <v>1200</v>
      </c>
      <c r="B934">
        <v>140.678399997409</v>
      </c>
      <c r="C934">
        <v>71.969583825123294</v>
      </c>
      <c r="D934">
        <v>4.9966887900676102</v>
      </c>
      <c r="E934">
        <v>38.336857562697098</v>
      </c>
      <c r="F934">
        <v>25.201716412098001</v>
      </c>
      <c r="G934">
        <v>46.521815376506702</v>
      </c>
      <c r="H934">
        <v>29.6161779384007</v>
      </c>
      <c r="I934">
        <v>96.448147839213604</v>
      </c>
      <c r="J934">
        <v>55.1679999989842</v>
      </c>
      <c r="K934" t="s">
        <v>2</v>
      </c>
      <c r="L934">
        <v>19.32</v>
      </c>
      <c r="M934">
        <v>1</v>
      </c>
      <c r="N934">
        <f>LN(1+Table1[[#This Row],[Redness]])</f>
        <v>4.9535597003377516</v>
      </c>
      <c r="O934">
        <f>LN(1+Table1[[#This Row],[Greeness]])</f>
        <v>4.2900426943917056</v>
      </c>
      <c r="P934">
        <f>LN(1+Table1[[#This Row],[Blueness]])</f>
        <v>1.7912074485706189</v>
      </c>
      <c r="Q934">
        <f>LN(1+Table1[[#This Row],[L* lab]])</f>
        <v>3.6721619308354208</v>
      </c>
      <c r="R934">
        <f>LN(1+Table1[[#This Row],[a* lab]]+128)</f>
        <v>5.0382615921444387</v>
      </c>
      <c r="S934">
        <v>5.1677633393204401</v>
      </c>
      <c r="T934">
        <v>3.4215285600480034</v>
      </c>
      <c r="U934">
        <f>LN(1+Table1[[#This Row],[Saturation]])</f>
        <v>4.5793204195052581</v>
      </c>
      <c r="V934">
        <v>4.0283471996968627</v>
      </c>
    </row>
    <row r="935" spans="1:23" x14ac:dyDescent="0.3">
      <c r="A935">
        <v>1200</v>
      </c>
      <c r="B935">
        <v>140.320888886305</v>
      </c>
      <c r="C935">
        <v>72.555894804463307</v>
      </c>
      <c r="D935">
        <v>6.85069197047161</v>
      </c>
      <c r="E935">
        <v>38.4229875670257</v>
      </c>
      <c r="F935">
        <v>24.7503228210327</v>
      </c>
      <c r="G935">
        <v>45.980013031934902</v>
      </c>
      <c r="H935">
        <v>29.537022205230802</v>
      </c>
      <c r="I935">
        <v>95.117838815842703</v>
      </c>
      <c r="J935">
        <v>55.027799563256899</v>
      </c>
      <c r="K935" t="s">
        <v>2</v>
      </c>
      <c r="L935">
        <v>19.32</v>
      </c>
      <c r="M935">
        <v>1</v>
      </c>
      <c r="N935">
        <f>LN(1+Table1[[#This Row],[Redness]])</f>
        <v>4.951033112354442</v>
      </c>
      <c r="O935">
        <f>LN(1+Table1[[#This Row],[Greeness]])</f>
        <v>4.2980455907354242</v>
      </c>
      <c r="P935">
        <f>LN(1+Table1[[#This Row],[Blueness]])</f>
        <v>2.0606016770140769</v>
      </c>
      <c r="Q935">
        <f>LN(1+Table1[[#This Row],[L* lab]])</f>
        <v>3.6743490869559388</v>
      </c>
      <c r="R935">
        <f>LN(1+Table1[[#This Row],[a* lab]]+128)</f>
        <v>5.0353300063334165</v>
      </c>
      <c r="S935">
        <v>5.164671756154827</v>
      </c>
      <c r="T935">
        <v>3.4189397902962759</v>
      </c>
      <c r="U935">
        <f>LN(1+Table1[[#This Row],[Saturation]])</f>
        <v>4.5655749263858096</v>
      </c>
      <c r="V935">
        <v>4.0258479883315657</v>
      </c>
    </row>
    <row r="936" spans="1:23" x14ac:dyDescent="0.3">
      <c r="A936">
        <v>1200</v>
      </c>
      <c r="B936">
        <v>138.61137777522501</v>
      </c>
      <c r="C936">
        <v>69.782562094425501</v>
      </c>
      <c r="D936">
        <v>3.2415278542033201</v>
      </c>
      <c r="E936">
        <v>37.512661267443598</v>
      </c>
      <c r="F936">
        <v>25.483687463897201</v>
      </c>
      <c r="G936">
        <v>46.380227251508899</v>
      </c>
      <c r="H936">
        <v>29.492993135049002</v>
      </c>
      <c r="I936">
        <v>97.661427289569303</v>
      </c>
      <c r="J936">
        <v>54.357403049108001</v>
      </c>
      <c r="K936" t="s">
        <v>2</v>
      </c>
      <c r="L936">
        <v>19.32</v>
      </c>
      <c r="M936">
        <v>1</v>
      </c>
      <c r="N936">
        <f>LN(1+Table1[[#This Row],[Redness]])</f>
        <v>4.9388626896949663</v>
      </c>
      <c r="O936">
        <f>LN(1+Table1[[#This Row],[Greeness]])</f>
        <v>4.2596126722619809</v>
      </c>
      <c r="P936">
        <f>LN(1+Table1[[#This Row],[Blueness]])</f>
        <v>1.444923547308411</v>
      </c>
      <c r="Q936">
        <f>LN(1+Table1[[#This Row],[L* lab]])</f>
        <v>3.6509870513192406</v>
      </c>
      <c r="R936">
        <f>LN(1+Table1[[#This Row],[a* lab]]+128)</f>
        <v>5.0400885080056019</v>
      </c>
      <c r="S936">
        <v>5.1669563441167572</v>
      </c>
      <c r="T936">
        <v>3.4174969239435526</v>
      </c>
      <c r="U936">
        <f>LN(1+Table1[[#This Row],[Saturation]])</f>
        <v>4.5916940624510945</v>
      </c>
      <c r="V936">
        <v>4.0138103999689934</v>
      </c>
    </row>
    <row r="937" spans="1:23" x14ac:dyDescent="0.3">
      <c r="A937">
        <v>1200</v>
      </c>
      <c r="B937">
        <v>138.59413333078101</v>
      </c>
      <c r="C937">
        <v>70.594117467587196</v>
      </c>
      <c r="D937">
        <v>5.5940088290126102</v>
      </c>
      <c r="E937">
        <v>37.703640986437399</v>
      </c>
      <c r="F937">
        <v>25.066775961465002</v>
      </c>
      <c r="G937">
        <v>45.7444551736804</v>
      </c>
      <c r="H937">
        <v>29.323329830887499</v>
      </c>
      <c r="I937">
        <v>95.963747747055393</v>
      </c>
      <c r="J937">
        <v>54.350640521875</v>
      </c>
      <c r="K937" t="s">
        <v>2</v>
      </c>
      <c r="L937">
        <v>19.32</v>
      </c>
      <c r="M937">
        <v>1</v>
      </c>
      <c r="N937">
        <f>LN(1+Table1[[#This Row],[Redness]])</f>
        <v>4.9387391645940646</v>
      </c>
      <c r="O937">
        <f>LN(1+Table1[[#This Row],[Greeness]])</f>
        <v>4.2710129123175022</v>
      </c>
      <c r="P937">
        <f>LN(1+Table1[[#This Row],[Blueness]])</f>
        <v>1.8861614835950502</v>
      </c>
      <c r="Q937">
        <f>LN(1+Table1[[#This Row],[L* lab]])</f>
        <v>3.6559336779471545</v>
      </c>
      <c r="R937">
        <f>LN(1+Table1[[#This Row],[a* lab]]+128)</f>
        <v>5.0373861185713027</v>
      </c>
      <c r="S937">
        <v>5.1633246505600408</v>
      </c>
      <c r="T937">
        <v>3.4119173776625287</v>
      </c>
      <c r="U937">
        <f>LN(1+Table1[[#This Row],[Saturation]])</f>
        <v>4.5743371740807746</v>
      </c>
      <c r="V937">
        <v>4.0136882312986186</v>
      </c>
    </row>
    <row r="938" spans="1:23" x14ac:dyDescent="0.3">
      <c r="A938">
        <v>1200</v>
      </c>
      <c r="B938">
        <v>138.93848888632999</v>
      </c>
      <c r="C938">
        <v>70.938472945750206</v>
      </c>
      <c r="D938">
        <v>6.1822624030807702</v>
      </c>
      <c r="E938">
        <v>37.8374417860311</v>
      </c>
      <c r="F938">
        <v>25.036412817306601</v>
      </c>
      <c r="G938">
        <v>45.685995029740702</v>
      </c>
      <c r="H938">
        <v>29.2669710151063</v>
      </c>
      <c r="I938">
        <v>95.550360125091998</v>
      </c>
      <c r="J938">
        <v>54.485681916208101</v>
      </c>
      <c r="K938" t="s">
        <v>2</v>
      </c>
      <c r="L938">
        <v>19.32</v>
      </c>
      <c r="M938">
        <v>1</v>
      </c>
      <c r="N938">
        <f>LN(1+Table1[[#This Row],[Redness]])</f>
        <v>4.9412029609625359</v>
      </c>
      <c r="O938">
        <f>LN(1+Table1[[#This Row],[Greeness]])</f>
        <v>4.2758112112664044</v>
      </c>
      <c r="P938">
        <f>LN(1+Table1[[#This Row],[Blueness]])</f>
        <v>1.9716144313493214</v>
      </c>
      <c r="Q938">
        <f>LN(1+Table1[[#This Row],[L* lab]])</f>
        <v>3.6593847758067093</v>
      </c>
      <c r="R938">
        <f>LN(1+Table1[[#This Row],[a* lab]]+128)</f>
        <v>5.0371890213301018</v>
      </c>
      <c r="S938">
        <v>5.1629900480979423</v>
      </c>
      <c r="T938">
        <v>3.4100570524537672</v>
      </c>
      <c r="U938">
        <f>LN(1+Table1[[#This Row],[Saturation]])</f>
        <v>4.5700647388011975</v>
      </c>
      <c r="V938">
        <v>4.0161250039771774</v>
      </c>
    </row>
    <row r="939" spans="1:23" x14ac:dyDescent="0.3">
      <c r="A939">
        <v>1200</v>
      </c>
      <c r="B939">
        <v>136.46595555304199</v>
      </c>
      <c r="C939">
        <v>68.465940168108801</v>
      </c>
      <c r="D939">
        <v>4.1591963187968002</v>
      </c>
      <c r="E939">
        <v>36.8825739522904</v>
      </c>
      <c r="F939">
        <v>25.294702658132199</v>
      </c>
      <c r="G939">
        <v>45.506367050741297</v>
      </c>
      <c r="H939">
        <v>29.1625662459731</v>
      </c>
      <c r="I939">
        <v>96.952209580813602</v>
      </c>
      <c r="J939">
        <v>53.516061001193201</v>
      </c>
      <c r="K939" t="s">
        <v>2</v>
      </c>
      <c r="L939">
        <v>19.32</v>
      </c>
      <c r="M939">
        <v>1</v>
      </c>
      <c r="N939">
        <f>LN(1+Table1[[#This Row],[Redness]])</f>
        <v>4.923376290471805</v>
      </c>
      <c r="O939">
        <f>LN(1+Table1[[#This Row],[Greeness]])</f>
        <v>4.2408365629238158</v>
      </c>
      <c r="P939">
        <f>LN(1+Table1[[#This Row],[Blueness]])</f>
        <v>1.6407808151916796</v>
      </c>
      <c r="Q939">
        <f>LN(1+Table1[[#This Row],[L* lab]])</f>
        <v>3.6344912161754306</v>
      </c>
      <c r="R939">
        <f>LN(1+Table1[[#This Row],[a* lab]]+128)</f>
        <v>5.0388644273353975</v>
      </c>
      <c r="S939">
        <v>5.1619612283736309</v>
      </c>
      <c r="T939">
        <v>3.4066016272512032</v>
      </c>
      <c r="U939">
        <f>LN(1+Table1[[#This Row],[Saturation]])</f>
        <v>4.5844797023884247</v>
      </c>
      <c r="V939">
        <v>3.9984953555240872</v>
      </c>
    </row>
    <row r="940" spans="1:23" x14ac:dyDescent="0.3">
      <c r="A940">
        <v>1200</v>
      </c>
      <c r="B940">
        <v>139.57279999743</v>
      </c>
      <c r="C940">
        <v>71.572783914302505</v>
      </c>
      <c r="D940">
        <v>7.2926376897624596</v>
      </c>
      <c r="E940">
        <v>38.084643933345298</v>
      </c>
      <c r="F940">
        <v>24.9813912547387</v>
      </c>
      <c r="G940">
        <v>45.558385195698001</v>
      </c>
      <c r="H940">
        <v>29.156365596996501</v>
      </c>
      <c r="I940">
        <v>94.775029454236901</v>
      </c>
      <c r="J940">
        <v>54.734431371541199</v>
      </c>
      <c r="K940" t="s">
        <v>2</v>
      </c>
      <c r="L940">
        <v>19.32</v>
      </c>
      <c r="M940">
        <v>1</v>
      </c>
      <c r="N940">
        <f>LN(1+Table1[[#This Row],[Redness]])</f>
        <v>4.9457255040286281</v>
      </c>
      <c r="O940">
        <f>LN(1+Table1[[#This Row],[Greeness]])</f>
        <v>4.2845899743332581</v>
      </c>
      <c r="P940">
        <f>LN(1+Table1[[#This Row],[Blueness]])</f>
        <v>2.1153680958329639</v>
      </c>
      <c r="Q940">
        <f>LN(1+Table1[[#This Row],[L* lab]])</f>
        <v>3.6657296515718305</v>
      </c>
      <c r="R940">
        <f>LN(1+Table1[[#This Row],[a* lab]]+128)</f>
        <v>5.0368317591041807</v>
      </c>
      <c r="S940">
        <v>5.1622592713298854</v>
      </c>
      <c r="T940">
        <v>3.40639603180019</v>
      </c>
      <c r="U940">
        <f>LN(1+Table1[[#This Row],[Saturation]])</f>
        <v>4.5620019981224198</v>
      </c>
      <c r="V940">
        <v>4.0205981134309026</v>
      </c>
    </row>
    <row r="941" spans="1:23" x14ac:dyDescent="0.3">
      <c r="A941">
        <v>1200</v>
      </c>
      <c r="B941">
        <v>138.62293333078</v>
      </c>
      <c r="C941">
        <v>70.622917461114497</v>
      </c>
      <c r="D941">
        <v>7.6227636755722399</v>
      </c>
      <c r="E941">
        <v>37.722641309483798</v>
      </c>
      <c r="F941">
        <v>25.102691111711302</v>
      </c>
      <c r="G941">
        <v>45.1249582322828</v>
      </c>
      <c r="H941">
        <v>28.8549948987202</v>
      </c>
      <c r="I941">
        <v>94.501080382289302</v>
      </c>
      <c r="J941">
        <v>54.361934639521898</v>
      </c>
      <c r="K941" t="s">
        <v>2</v>
      </c>
      <c r="L941">
        <v>19.32</v>
      </c>
      <c r="M941">
        <v>1</v>
      </c>
      <c r="N941">
        <f>LN(1+Table1[[#This Row],[Redness]])</f>
        <v>4.9389454557097574</v>
      </c>
      <c r="O941">
        <f>LN(1+Table1[[#This Row],[Greeness]])</f>
        <v>4.2714150990256661</v>
      </c>
      <c r="P941">
        <f>LN(1+Table1[[#This Row],[Blueness]])</f>
        <v>2.1544056453058933</v>
      </c>
      <c r="Q941">
        <f>LN(1+Table1[[#This Row],[L* lab]])</f>
        <v>3.6564244757192901</v>
      </c>
      <c r="R941">
        <f>LN(1+Table1[[#This Row],[a* lab]]+128)</f>
        <v>5.0376192055850808</v>
      </c>
      <c r="S941">
        <v>5.1597731922279113</v>
      </c>
      <c r="T941">
        <v>3.3963521591304167</v>
      </c>
      <c r="U941">
        <f>LN(1+Table1[[#This Row],[Saturation]])</f>
        <v>4.5591375603262474</v>
      </c>
      <c r="V941">
        <v>4.0138922572219542</v>
      </c>
    </row>
    <row r="942" spans="1:23" x14ac:dyDescent="0.3">
      <c r="A942">
        <v>1200</v>
      </c>
      <c r="B942">
        <v>149.414666663915</v>
      </c>
      <c r="C942">
        <v>70.135406459569495</v>
      </c>
      <c r="D942">
        <v>13.3684580174508</v>
      </c>
      <c r="E942">
        <v>39.341326054516998</v>
      </c>
      <c r="F942">
        <v>30.1261273542491</v>
      </c>
      <c r="G942">
        <v>45.286042819921697</v>
      </c>
      <c r="H942">
        <v>25.035735581416599</v>
      </c>
      <c r="I942">
        <v>91.052780616563496</v>
      </c>
      <c r="J942">
        <v>58.593986927025703</v>
      </c>
      <c r="K942" t="s">
        <v>2</v>
      </c>
      <c r="L942" s="3">
        <v>19.32</v>
      </c>
      <c r="M942">
        <v>1</v>
      </c>
      <c r="N942">
        <f>LN(1+Table1[[#This Row],[Redness]])</f>
        <v>5.0133959244733974</v>
      </c>
      <c r="O942">
        <f>LN(1+Table1[[#This Row],[Greeness]])</f>
        <v>4.2645851940049821</v>
      </c>
      <c r="P942">
        <f>LN(1+Table1[[#This Row],[Blueness]])</f>
        <v>2.665035388658306</v>
      </c>
      <c r="Q942">
        <f>LN(1+Table1[[#This Row],[L* lab]])</f>
        <v>3.6973764039371337</v>
      </c>
      <c r="R942">
        <f>LN(1+Table1[[#This Row],[a* lab]]+128)</f>
        <v>5.069697141561031</v>
      </c>
      <c r="S942">
        <v>5.1606978737025502</v>
      </c>
      <c r="T942">
        <v>3.2594700397750467</v>
      </c>
      <c r="U942">
        <f>LN(1+Table1[[#This Row],[Saturation]])</f>
        <v>4.5223621148987103</v>
      </c>
      <c r="V942">
        <v>4.0875546784953709</v>
      </c>
      <c r="W942" t="s">
        <v>26</v>
      </c>
    </row>
    <row r="943" spans="1:23" x14ac:dyDescent="0.3">
      <c r="A943">
        <v>1200</v>
      </c>
      <c r="B943">
        <v>144.144822219568</v>
      </c>
      <c r="C943">
        <v>66.018496273717602</v>
      </c>
      <c r="D943">
        <v>13.041687512514599</v>
      </c>
      <c r="E943">
        <v>37.616935033253</v>
      </c>
      <c r="F943">
        <v>30.1077802430246</v>
      </c>
      <c r="G943">
        <v>43.6877735909545</v>
      </c>
      <c r="H943">
        <v>24.2450993469736</v>
      </c>
      <c r="I943">
        <v>90.952371849577105</v>
      </c>
      <c r="J943">
        <v>56.527381262575702</v>
      </c>
      <c r="K943" t="s">
        <v>2</v>
      </c>
      <c r="L943" s="3">
        <v>19.32</v>
      </c>
      <c r="M943">
        <v>1</v>
      </c>
      <c r="N943">
        <f>LN(1+Table1[[#This Row],[Redness]])</f>
        <v>4.9777320179058098</v>
      </c>
      <c r="O943">
        <f>LN(1+Table1[[#This Row],[Greeness]])</f>
        <v>4.2049686450792008</v>
      </c>
      <c r="P943">
        <f>LN(1+Table1[[#This Row],[Blueness]])</f>
        <v>2.6420305845740866</v>
      </c>
      <c r="Q943">
        <f>LN(1+Table1[[#This Row],[L* lab]])</f>
        <v>3.6536909116877161</v>
      </c>
      <c r="R943">
        <f>LN(1+Table1[[#This Row],[a* lab]]+128)</f>
        <v>5.0695818357384468</v>
      </c>
      <c r="S943">
        <v>5.1514851869948206</v>
      </c>
      <c r="T943">
        <v>3.2286320516160134</v>
      </c>
      <c r="U943">
        <f>LN(1+Table1[[#This Row],[Saturation]])</f>
        <v>4.5212707457103267</v>
      </c>
      <c r="V943">
        <v>4.0522610303289142</v>
      </c>
      <c r="W943" t="s">
        <v>26</v>
      </c>
    </row>
    <row r="944" spans="1:23" x14ac:dyDescent="0.3">
      <c r="A944">
        <v>1200</v>
      </c>
      <c r="B944">
        <v>135.544749997504</v>
      </c>
      <c r="C944">
        <v>56.804915011099801</v>
      </c>
      <c r="D944">
        <v>13.360897074621599</v>
      </c>
      <c r="E944">
        <v>34.2583680964443</v>
      </c>
      <c r="F944">
        <v>31.425893094188101</v>
      </c>
      <c r="G944">
        <v>40.306779005927602</v>
      </c>
      <c r="H944">
        <v>21.3337606715831</v>
      </c>
      <c r="I944">
        <v>90.142814771603</v>
      </c>
      <c r="J944">
        <v>53.154803920589799</v>
      </c>
      <c r="K944" t="s">
        <v>2</v>
      </c>
      <c r="L944" s="3">
        <v>19.32</v>
      </c>
      <c r="M944">
        <v>1</v>
      </c>
      <c r="N944">
        <f>LN(1+Table1[[#This Row],[Redness]])</f>
        <v>4.9166523997071669</v>
      </c>
      <c r="O944">
        <f>LN(1+Table1[[#This Row],[Greeness]])</f>
        <v>4.0570738068571925</v>
      </c>
      <c r="P944">
        <f>LN(1+Table1[[#This Row],[Blueness]])</f>
        <v>2.6645090320464342</v>
      </c>
      <c r="Q944">
        <f>LN(1+Table1[[#This Row],[L* lab]])</f>
        <v>3.5627028938919945</v>
      </c>
      <c r="R944">
        <f>LN(1+Table1[[#This Row],[a* lab]]+128)</f>
        <v>5.0778321106722792</v>
      </c>
      <c r="S944">
        <v>5.1317123297191891</v>
      </c>
      <c r="T944">
        <v>3.10609946508829</v>
      </c>
      <c r="U944">
        <f>LN(1+Table1[[#This Row],[Saturation]])</f>
        <v>4.5124276694010002</v>
      </c>
      <c r="V944">
        <v>3.9918466845737282</v>
      </c>
      <c r="W944" t="s">
        <v>26</v>
      </c>
    </row>
    <row r="945" spans="1:23" x14ac:dyDescent="0.3">
      <c r="A945">
        <v>1200</v>
      </c>
      <c r="B945">
        <v>133.84953333086801</v>
      </c>
      <c r="C945">
        <v>53.899921219541199</v>
      </c>
      <c r="D945">
        <v>13.677673357552001</v>
      </c>
      <c r="E945">
        <v>33.388721700705197</v>
      </c>
      <c r="F945">
        <v>32.251470062960003</v>
      </c>
      <c r="G945">
        <v>39.3681295831515</v>
      </c>
      <c r="H945">
        <v>20.082362645091798</v>
      </c>
      <c r="I945">
        <v>89.781306652940202</v>
      </c>
      <c r="J945">
        <v>52.490013070928903</v>
      </c>
      <c r="K945" t="s">
        <v>2</v>
      </c>
      <c r="L945" s="3">
        <v>19.32</v>
      </c>
      <c r="M945">
        <v>1</v>
      </c>
      <c r="N945">
        <f>LN(1+Table1[[#This Row],[Redness]])</f>
        <v>4.9041595889261949</v>
      </c>
      <c r="O945">
        <f>LN(1+Table1[[#This Row],[Greeness]])</f>
        <v>4.0055119135334207</v>
      </c>
      <c r="P945">
        <f>LN(1+Table1[[#This Row],[Blueness]])</f>
        <v>2.6863275199954297</v>
      </c>
      <c r="Q945">
        <f>LN(1+Table1[[#This Row],[L* lab]])</f>
        <v>3.5377286530846805</v>
      </c>
      <c r="R945">
        <f>LN(1+Table1[[#This Row],[a* lab]]+128)</f>
        <v>5.0829650723038444</v>
      </c>
      <c r="S945">
        <v>5.1261528296405592</v>
      </c>
      <c r="T945">
        <v>3.0484367973306159</v>
      </c>
      <c r="U945">
        <f>LN(1+Table1[[#This Row],[Saturation]])</f>
        <v>4.5084533905460171</v>
      </c>
      <c r="V945">
        <v>3.979494964905232</v>
      </c>
      <c r="W945" t="s">
        <v>26</v>
      </c>
    </row>
  </sheetData>
  <conditionalFormatting sqref="C1:C1048576">
    <cfRule type="colorScale" priority="2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54:C793">
    <cfRule type="colorScale" priority="14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61:C793">
    <cfRule type="colorScale" priority="15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794:C945">
    <cfRule type="colorScale" priority="14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54:G793">
    <cfRule type="colorScale" priority="15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61:G793">
    <cfRule type="colorScale" priority="15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94:G945">
    <cfRule type="colorScale" priority="14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54:H793">
    <cfRule type="colorScale" priority="15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61:H793">
    <cfRule type="colorScale" priority="15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794:H945">
    <cfRule type="colorScale" priority="14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58:C753">
    <cfRule type="colorScale" priority="66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:G948">
    <cfRule type="colorScale" priority="66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58:G753">
    <cfRule type="colorScale" priority="66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2:H948">
    <cfRule type="colorScale" priority="66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158:H753">
    <cfRule type="colorScale" priority="6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ASHIQUE TP</dc:creator>
  <cp:lastModifiedBy>ASHIQUE TP</cp:lastModifiedBy>
  <dcterms:created xsi:type="dcterms:W3CDTF">2015-06-05T18:17:20Z</dcterms:created>
  <dcterms:modified xsi:type="dcterms:W3CDTF">2025-08-06T06:37:27Z</dcterms:modified>
</cp:coreProperties>
</file>